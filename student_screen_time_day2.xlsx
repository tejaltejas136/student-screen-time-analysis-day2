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rya\OneDrive\Desktop\"/>
    </mc:Choice>
  </mc:AlternateContent>
  <xr:revisionPtr revIDLastSave="0" documentId="13_ncr:1_{22DE1C1C-4D93-4DC7-9B96-858A117A28BD}" xr6:coauthVersionLast="47" xr6:coauthVersionMax="47" xr10:uidLastSave="{00000000-0000-0000-0000-000000000000}"/>
  <bookViews>
    <workbookView xWindow="-108" yWindow="-108" windowWidth="23256" windowHeight="12456" activeTab="1" xr2:uid="{0F92E5AD-907F-470F-AB00-BD3F9DE2D7A2}"/>
  </bookViews>
  <sheets>
    <sheet name="student_screen_time_raw" sheetId="1" r:id="rId1"/>
    <sheet name=" student screen" sheetId="2" r:id="rId2"/>
    <sheet name="Student-screen-time" sheetId="4" r:id="rId3"/>
    <sheet name="Pivot-1" sheetId="7" r:id="rId4"/>
    <sheet name="Pivot-2" sheetId="9" r:id="rId5"/>
    <sheet name="Pivot-3" sheetId="11" r:id="rId6"/>
    <sheet name="Dashboard" sheetId="12" r:id="rId7"/>
    <sheet name="insights" sheetId="10" r:id="rId8"/>
  </sheets>
  <definedNames>
    <definedName name="ExternalData_1" localSheetId="2" hidden="1">'Student-screen-time'!$A$1:$F$206</definedName>
  </definedNames>
  <calcPr calcId="0"/>
  <pivotCaches>
    <pivotCache cacheId="0" r:id="rId9"/>
    <pivotCache cacheId="1" r:id="rId10"/>
  </pivotCaches>
  <fileRecoveryPr repairLoad="1"/>
</workbook>
</file>

<file path=xl/calcChain.xml><?xml version="1.0" encoding="utf-8"?>
<calcChain xmlns="http://schemas.openxmlformats.org/spreadsheetml/2006/main">
  <c r="H2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6EC15B-378B-4686-9B09-3D6F5E63514D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1BD6725D-46D2-49E1-B5FD-49F2E7C45910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54BCADA3-BFCB-4230-8C95-1D69531144FF}" keepAlive="1" name="Query - Table1__2" description="Connection to the 'Table1__2' query in the workbook." type="5" refreshedVersion="0" background="1">
    <dbPr connection="Provider=Microsoft.Mashup.OleDb.1;Data Source=$Workbook$;Location=Table1__2;Extended Properties=&quot;&quot;" command="SELECT * FROM [Table1__2]"/>
  </connection>
</connections>
</file>

<file path=xl/sharedStrings.xml><?xml version="1.0" encoding="utf-8"?>
<sst xmlns="http://schemas.openxmlformats.org/spreadsheetml/2006/main" count="32" uniqueCount="20">
  <si>
    <t>Student_ID</t>
  </si>
  <si>
    <t>Age</t>
  </si>
  <si>
    <t>Study_Hours</t>
  </si>
  <si>
    <t>Screen_Time</t>
  </si>
  <si>
    <t>Test_Scores</t>
  </si>
  <si>
    <t>Extra_Curricular_Hours</t>
  </si>
  <si>
    <t>Study Hours</t>
  </si>
  <si>
    <t>Screen Time</t>
  </si>
  <si>
    <t>Test Scores</t>
  </si>
  <si>
    <t>Extra Curricular Hours</t>
  </si>
  <si>
    <t>Student ID</t>
  </si>
  <si>
    <t>Study/Screen ratio</t>
  </si>
  <si>
    <t>Row Labels</t>
  </si>
  <si>
    <t>Grand Total</t>
  </si>
  <si>
    <t>High</t>
  </si>
  <si>
    <t>Normal</t>
  </si>
  <si>
    <t>Average of Extra Curricular Hours</t>
  </si>
  <si>
    <t>Average of Test Scores</t>
  </si>
  <si>
    <t>Average of Study Hours</t>
  </si>
  <si>
    <t>screen time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</si>
</sst>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3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9C5700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'Student-screen-time'!$E$1</c:f>
              <c:strCache>
                <c:ptCount val="1"/>
                <c:pt idx="0">
                  <c:v>Test Scores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0800" dist="38100" dir="5400000" rotWithShape="0">
                <a:srgbClr val="000000">
                  <a:alpha val="46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98000"/>
                      <a:hueMod val="94000"/>
                      <a:satMod val="130000"/>
                      <a:lumMod val="128000"/>
                    </a:schemeClr>
                  </a:gs>
                  <a:gs pos="100000">
                    <a:schemeClr val="accent1">
                      <a:shade val="94000"/>
                      <a:lumMod val="8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0800" dist="38100" dir="5400000" rotWithShape="0">
                  <a:srgbClr val="000000">
                    <a:alpha val="46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</c:marker>
          <c:xVal>
            <c:numRef>
              <c:f>'Student-screen-time'!$D$2:$D$206</c:f>
              <c:numCache>
                <c:formatCode>General</c:formatCode>
                <c:ptCount val="205"/>
                <c:pt idx="0">
                  <c:v>2.7</c:v>
                </c:pt>
                <c:pt idx="1">
                  <c:v>4</c:v>
                </c:pt>
                <c:pt idx="2">
                  <c:v>4.3</c:v>
                </c:pt>
                <c:pt idx="3">
                  <c:v>2.8</c:v>
                </c:pt>
                <c:pt idx="4">
                  <c:v>1.8</c:v>
                </c:pt>
                <c:pt idx="5">
                  <c:v>4.4000000000000004</c:v>
                </c:pt>
                <c:pt idx="6">
                  <c:v>6.7</c:v>
                </c:pt>
                <c:pt idx="7">
                  <c:v>4.5999999999999996</c:v>
                </c:pt>
                <c:pt idx="8">
                  <c:v>4.0999999999999996</c:v>
                </c:pt>
                <c:pt idx="9">
                  <c:v>4.0999999999999996</c:v>
                </c:pt>
                <c:pt idx="10">
                  <c:v>3.6</c:v>
                </c:pt>
                <c:pt idx="11">
                  <c:v>5.8</c:v>
                </c:pt>
                <c:pt idx="12">
                  <c:v>0</c:v>
                </c:pt>
                <c:pt idx="13">
                  <c:v>2</c:v>
                </c:pt>
                <c:pt idx="14">
                  <c:v>1.6</c:v>
                </c:pt>
                <c:pt idx="15">
                  <c:v>4.0999999999999996</c:v>
                </c:pt>
                <c:pt idx="16">
                  <c:v>5.6</c:v>
                </c:pt>
                <c:pt idx="17">
                  <c:v>4.4000000000000004</c:v>
                </c:pt>
                <c:pt idx="18">
                  <c:v>3.5</c:v>
                </c:pt>
                <c:pt idx="19">
                  <c:v>4.7</c:v>
                </c:pt>
                <c:pt idx="20">
                  <c:v>4.3</c:v>
                </c:pt>
                <c:pt idx="21">
                  <c:v>5.2</c:v>
                </c:pt>
                <c:pt idx="22">
                  <c:v>6</c:v>
                </c:pt>
                <c:pt idx="23">
                  <c:v>2.6</c:v>
                </c:pt>
                <c:pt idx="24">
                  <c:v>0.5</c:v>
                </c:pt>
                <c:pt idx="25">
                  <c:v>3.5</c:v>
                </c:pt>
                <c:pt idx="26">
                  <c:v>2.5</c:v>
                </c:pt>
                <c:pt idx="27">
                  <c:v>5.2</c:v>
                </c:pt>
                <c:pt idx="28">
                  <c:v>2.9</c:v>
                </c:pt>
                <c:pt idx="29">
                  <c:v>1.2</c:v>
                </c:pt>
                <c:pt idx="30">
                  <c:v>3.1</c:v>
                </c:pt>
                <c:pt idx="31">
                  <c:v>1.8</c:v>
                </c:pt>
                <c:pt idx="32">
                  <c:v>6.4</c:v>
                </c:pt>
                <c:pt idx="33">
                  <c:v>4.7</c:v>
                </c:pt>
                <c:pt idx="34">
                  <c:v>5</c:v>
                </c:pt>
                <c:pt idx="35">
                  <c:v>4.8</c:v>
                </c:pt>
                <c:pt idx="36">
                  <c:v>5.3</c:v>
                </c:pt>
                <c:pt idx="37">
                  <c:v>5.7</c:v>
                </c:pt>
                <c:pt idx="38">
                  <c:v>3.2</c:v>
                </c:pt>
                <c:pt idx="39">
                  <c:v>1.9</c:v>
                </c:pt>
                <c:pt idx="40">
                  <c:v>2.7</c:v>
                </c:pt>
                <c:pt idx="41">
                  <c:v>3.9</c:v>
                </c:pt>
                <c:pt idx="42">
                  <c:v>0.2</c:v>
                </c:pt>
                <c:pt idx="43">
                  <c:v>5.7</c:v>
                </c:pt>
                <c:pt idx="44">
                  <c:v>1.2</c:v>
                </c:pt>
                <c:pt idx="45">
                  <c:v>4.9000000000000004</c:v>
                </c:pt>
                <c:pt idx="46">
                  <c:v>3.7</c:v>
                </c:pt>
                <c:pt idx="47">
                  <c:v>4.4000000000000004</c:v>
                </c:pt>
                <c:pt idx="48">
                  <c:v>3.3</c:v>
                </c:pt>
                <c:pt idx="49">
                  <c:v>4.3</c:v>
                </c:pt>
                <c:pt idx="50">
                  <c:v>3.3</c:v>
                </c:pt>
                <c:pt idx="51">
                  <c:v>3.2</c:v>
                </c:pt>
                <c:pt idx="52">
                  <c:v>2.7</c:v>
                </c:pt>
                <c:pt idx="53">
                  <c:v>0</c:v>
                </c:pt>
                <c:pt idx="54">
                  <c:v>4.5999999999999996</c:v>
                </c:pt>
                <c:pt idx="55">
                  <c:v>4.3</c:v>
                </c:pt>
                <c:pt idx="56">
                  <c:v>2.7</c:v>
                </c:pt>
                <c:pt idx="57">
                  <c:v>3.6</c:v>
                </c:pt>
                <c:pt idx="58">
                  <c:v>2.5</c:v>
                </c:pt>
                <c:pt idx="59">
                  <c:v>3.3</c:v>
                </c:pt>
                <c:pt idx="60">
                  <c:v>2.2000000000000002</c:v>
                </c:pt>
                <c:pt idx="61">
                  <c:v>6.4</c:v>
                </c:pt>
                <c:pt idx="62">
                  <c:v>0</c:v>
                </c:pt>
                <c:pt idx="63">
                  <c:v>2.7</c:v>
                </c:pt>
                <c:pt idx="64">
                  <c:v>2</c:v>
                </c:pt>
                <c:pt idx="65">
                  <c:v>2.8</c:v>
                </c:pt>
                <c:pt idx="66">
                  <c:v>3.3</c:v>
                </c:pt>
                <c:pt idx="67">
                  <c:v>3.9</c:v>
                </c:pt>
                <c:pt idx="68">
                  <c:v>3</c:v>
                </c:pt>
                <c:pt idx="69">
                  <c:v>1.6</c:v>
                </c:pt>
                <c:pt idx="70">
                  <c:v>1.7</c:v>
                </c:pt>
                <c:pt idx="71">
                  <c:v>5</c:v>
                </c:pt>
                <c:pt idx="72">
                  <c:v>3.8</c:v>
                </c:pt>
                <c:pt idx="73">
                  <c:v>5</c:v>
                </c:pt>
                <c:pt idx="74">
                  <c:v>5.2</c:v>
                </c:pt>
                <c:pt idx="75">
                  <c:v>4.2</c:v>
                </c:pt>
                <c:pt idx="76">
                  <c:v>2.2000000000000002</c:v>
                </c:pt>
                <c:pt idx="77">
                  <c:v>4.3</c:v>
                </c:pt>
                <c:pt idx="78">
                  <c:v>6.1</c:v>
                </c:pt>
                <c:pt idx="79">
                  <c:v>3.3</c:v>
                </c:pt>
                <c:pt idx="80">
                  <c:v>4.5</c:v>
                </c:pt>
                <c:pt idx="81">
                  <c:v>4</c:v>
                </c:pt>
                <c:pt idx="82">
                  <c:v>6.1</c:v>
                </c:pt>
                <c:pt idx="83">
                  <c:v>3</c:v>
                </c:pt>
                <c:pt idx="84">
                  <c:v>5.7</c:v>
                </c:pt>
                <c:pt idx="85">
                  <c:v>3.4</c:v>
                </c:pt>
                <c:pt idx="86">
                  <c:v>3</c:v>
                </c:pt>
                <c:pt idx="87">
                  <c:v>4.2</c:v>
                </c:pt>
                <c:pt idx="88">
                  <c:v>4.5</c:v>
                </c:pt>
                <c:pt idx="89">
                  <c:v>6.9</c:v>
                </c:pt>
                <c:pt idx="90">
                  <c:v>4.5</c:v>
                </c:pt>
                <c:pt idx="91">
                  <c:v>4.3</c:v>
                </c:pt>
                <c:pt idx="92">
                  <c:v>6.4</c:v>
                </c:pt>
                <c:pt idx="93">
                  <c:v>4.9000000000000004</c:v>
                </c:pt>
                <c:pt idx="94">
                  <c:v>3</c:v>
                </c:pt>
                <c:pt idx="95">
                  <c:v>6</c:v>
                </c:pt>
                <c:pt idx="96">
                  <c:v>2.9</c:v>
                </c:pt>
                <c:pt idx="97">
                  <c:v>3</c:v>
                </c:pt>
                <c:pt idx="98">
                  <c:v>2.7</c:v>
                </c:pt>
                <c:pt idx="99">
                  <c:v>2.6</c:v>
                </c:pt>
                <c:pt idx="100">
                  <c:v>4.5</c:v>
                </c:pt>
                <c:pt idx="101">
                  <c:v>3.6</c:v>
                </c:pt>
                <c:pt idx="102">
                  <c:v>0</c:v>
                </c:pt>
                <c:pt idx="103">
                  <c:v>3.6</c:v>
                </c:pt>
                <c:pt idx="104">
                  <c:v>3.2</c:v>
                </c:pt>
                <c:pt idx="105">
                  <c:v>5.3</c:v>
                </c:pt>
                <c:pt idx="106">
                  <c:v>3.2</c:v>
                </c:pt>
                <c:pt idx="107">
                  <c:v>7.8</c:v>
                </c:pt>
                <c:pt idx="108">
                  <c:v>6.1</c:v>
                </c:pt>
                <c:pt idx="109">
                  <c:v>3.4</c:v>
                </c:pt>
                <c:pt idx="110">
                  <c:v>5.7</c:v>
                </c:pt>
                <c:pt idx="111">
                  <c:v>0</c:v>
                </c:pt>
                <c:pt idx="112">
                  <c:v>4.4000000000000004</c:v>
                </c:pt>
                <c:pt idx="113">
                  <c:v>5.2</c:v>
                </c:pt>
                <c:pt idx="114">
                  <c:v>4.0999999999999996</c:v>
                </c:pt>
                <c:pt idx="115">
                  <c:v>4.4000000000000004</c:v>
                </c:pt>
                <c:pt idx="116">
                  <c:v>5.2</c:v>
                </c:pt>
                <c:pt idx="117">
                  <c:v>7.1</c:v>
                </c:pt>
                <c:pt idx="118">
                  <c:v>4.4000000000000004</c:v>
                </c:pt>
                <c:pt idx="119">
                  <c:v>3.3</c:v>
                </c:pt>
                <c:pt idx="120">
                  <c:v>1</c:v>
                </c:pt>
                <c:pt idx="121">
                  <c:v>6.9</c:v>
                </c:pt>
                <c:pt idx="122">
                  <c:v>3.6</c:v>
                </c:pt>
                <c:pt idx="123">
                  <c:v>4.8</c:v>
                </c:pt>
                <c:pt idx="124">
                  <c:v>6.9</c:v>
                </c:pt>
                <c:pt idx="125">
                  <c:v>4.3</c:v>
                </c:pt>
                <c:pt idx="126">
                  <c:v>3.7</c:v>
                </c:pt>
                <c:pt idx="127">
                  <c:v>6.1</c:v>
                </c:pt>
                <c:pt idx="128">
                  <c:v>4.7</c:v>
                </c:pt>
                <c:pt idx="129">
                  <c:v>4.9000000000000004</c:v>
                </c:pt>
                <c:pt idx="130">
                  <c:v>1.7</c:v>
                </c:pt>
                <c:pt idx="131">
                  <c:v>5.8</c:v>
                </c:pt>
                <c:pt idx="132">
                  <c:v>4.5999999999999996</c:v>
                </c:pt>
                <c:pt idx="133">
                  <c:v>1.9</c:v>
                </c:pt>
                <c:pt idx="134">
                  <c:v>4.7</c:v>
                </c:pt>
                <c:pt idx="135">
                  <c:v>0.9</c:v>
                </c:pt>
                <c:pt idx="136">
                  <c:v>7.5</c:v>
                </c:pt>
                <c:pt idx="137">
                  <c:v>2.2999999999999998</c:v>
                </c:pt>
                <c:pt idx="138">
                  <c:v>6.4</c:v>
                </c:pt>
                <c:pt idx="139">
                  <c:v>2.8</c:v>
                </c:pt>
                <c:pt idx="140">
                  <c:v>4.8</c:v>
                </c:pt>
                <c:pt idx="141">
                  <c:v>2.6</c:v>
                </c:pt>
                <c:pt idx="142">
                  <c:v>5.5</c:v>
                </c:pt>
                <c:pt idx="143">
                  <c:v>3.6</c:v>
                </c:pt>
                <c:pt idx="144">
                  <c:v>4.7</c:v>
                </c:pt>
                <c:pt idx="145">
                  <c:v>4</c:v>
                </c:pt>
                <c:pt idx="146">
                  <c:v>2</c:v>
                </c:pt>
                <c:pt idx="147">
                  <c:v>4.8</c:v>
                </c:pt>
                <c:pt idx="148">
                  <c:v>3.2</c:v>
                </c:pt>
                <c:pt idx="149">
                  <c:v>5.6</c:v>
                </c:pt>
                <c:pt idx="150">
                  <c:v>3.6</c:v>
                </c:pt>
                <c:pt idx="151">
                  <c:v>3.9</c:v>
                </c:pt>
                <c:pt idx="152">
                  <c:v>6.5</c:v>
                </c:pt>
                <c:pt idx="153">
                  <c:v>7.6</c:v>
                </c:pt>
                <c:pt idx="154">
                  <c:v>5.2</c:v>
                </c:pt>
                <c:pt idx="155">
                  <c:v>3.6</c:v>
                </c:pt>
                <c:pt idx="156">
                  <c:v>3.4</c:v>
                </c:pt>
                <c:pt idx="157">
                  <c:v>2.8</c:v>
                </c:pt>
                <c:pt idx="158">
                  <c:v>3.1</c:v>
                </c:pt>
                <c:pt idx="159">
                  <c:v>3.6</c:v>
                </c:pt>
                <c:pt idx="160">
                  <c:v>6.9</c:v>
                </c:pt>
                <c:pt idx="161">
                  <c:v>3.7</c:v>
                </c:pt>
                <c:pt idx="162">
                  <c:v>2.2000000000000002</c:v>
                </c:pt>
                <c:pt idx="163">
                  <c:v>4.0999999999999996</c:v>
                </c:pt>
                <c:pt idx="164">
                  <c:v>4.3</c:v>
                </c:pt>
                <c:pt idx="165">
                  <c:v>4.0999999999999996</c:v>
                </c:pt>
                <c:pt idx="166">
                  <c:v>5.2</c:v>
                </c:pt>
                <c:pt idx="167">
                  <c:v>4.0999999999999996</c:v>
                </c:pt>
                <c:pt idx="168">
                  <c:v>5.2</c:v>
                </c:pt>
                <c:pt idx="169">
                  <c:v>2.8</c:v>
                </c:pt>
                <c:pt idx="170">
                  <c:v>0</c:v>
                </c:pt>
                <c:pt idx="171">
                  <c:v>4.4000000000000004</c:v>
                </c:pt>
                <c:pt idx="172">
                  <c:v>4.5999999999999996</c:v>
                </c:pt>
                <c:pt idx="173">
                  <c:v>2.8</c:v>
                </c:pt>
                <c:pt idx="174">
                  <c:v>4.7</c:v>
                </c:pt>
                <c:pt idx="175">
                  <c:v>5</c:v>
                </c:pt>
                <c:pt idx="176">
                  <c:v>2.2000000000000002</c:v>
                </c:pt>
                <c:pt idx="177">
                  <c:v>1.5</c:v>
                </c:pt>
                <c:pt idx="178">
                  <c:v>4.4000000000000004</c:v>
                </c:pt>
                <c:pt idx="179">
                  <c:v>3.3</c:v>
                </c:pt>
                <c:pt idx="180">
                  <c:v>4.4000000000000004</c:v>
                </c:pt>
                <c:pt idx="181">
                  <c:v>2.1</c:v>
                </c:pt>
                <c:pt idx="182">
                  <c:v>1.7</c:v>
                </c:pt>
                <c:pt idx="183">
                  <c:v>4.3</c:v>
                </c:pt>
                <c:pt idx="184">
                  <c:v>3.5</c:v>
                </c:pt>
                <c:pt idx="185">
                  <c:v>0</c:v>
                </c:pt>
                <c:pt idx="186">
                  <c:v>6</c:v>
                </c:pt>
                <c:pt idx="187">
                  <c:v>2</c:v>
                </c:pt>
                <c:pt idx="188">
                  <c:v>7.9</c:v>
                </c:pt>
                <c:pt idx="189">
                  <c:v>3.1</c:v>
                </c:pt>
                <c:pt idx="190">
                  <c:v>4.5999999999999996</c:v>
                </c:pt>
                <c:pt idx="191">
                  <c:v>6.5</c:v>
                </c:pt>
                <c:pt idx="192">
                  <c:v>6.2</c:v>
                </c:pt>
                <c:pt idx="193">
                  <c:v>7</c:v>
                </c:pt>
                <c:pt idx="194">
                  <c:v>1.7</c:v>
                </c:pt>
                <c:pt idx="195">
                  <c:v>2.2999999999999998</c:v>
                </c:pt>
                <c:pt idx="196">
                  <c:v>4.3</c:v>
                </c:pt>
                <c:pt idx="197">
                  <c:v>5.3</c:v>
                </c:pt>
                <c:pt idx="198">
                  <c:v>4</c:v>
                </c:pt>
                <c:pt idx="199">
                  <c:v>1.5</c:v>
                </c:pt>
                <c:pt idx="200">
                  <c:v>5.8</c:v>
                </c:pt>
                <c:pt idx="201">
                  <c:v>4.9000000000000004</c:v>
                </c:pt>
                <c:pt idx="202">
                  <c:v>4.7</c:v>
                </c:pt>
                <c:pt idx="203">
                  <c:v>2.6</c:v>
                </c:pt>
                <c:pt idx="204">
                  <c:v>3.2</c:v>
                </c:pt>
              </c:numCache>
            </c:numRef>
          </c:xVal>
          <c:yVal>
            <c:numRef>
              <c:f>'Student-screen-time'!$E$2:$E$206</c:f>
              <c:numCache>
                <c:formatCode>General</c:formatCode>
                <c:ptCount val="205"/>
                <c:pt idx="0">
                  <c:v>75</c:v>
                </c:pt>
                <c:pt idx="1">
                  <c:v>68.099999999999994</c:v>
                </c:pt>
                <c:pt idx="2">
                  <c:v>67.900000000000006</c:v>
                </c:pt>
                <c:pt idx="3">
                  <c:v>47.2</c:v>
                </c:pt>
                <c:pt idx="4">
                  <c:v>78</c:v>
                </c:pt>
                <c:pt idx="5">
                  <c:v>71.5</c:v>
                </c:pt>
                <c:pt idx="6">
                  <c:v>88</c:v>
                </c:pt>
                <c:pt idx="7">
                  <c:v>69.3</c:v>
                </c:pt>
                <c:pt idx="8">
                  <c:v>75.7</c:v>
                </c:pt>
                <c:pt idx="9">
                  <c:v>78.3</c:v>
                </c:pt>
                <c:pt idx="10">
                  <c:v>52.5</c:v>
                </c:pt>
                <c:pt idx="11">
                  <c:v>96.2</c:v>
                </c:pt>
                <c:pt idx="12">
                  <c:v>65.7</c:v>
                </c:pt>
                <c:pt idx="13">
                  <c:v>74.900000000000006</c:v>
                </c:pt>
                <c:pt idx="14">
                  <c:v>76.400000000000006</c:v>
                </c:pt>
                <c:pt idx="15">
                  <c:v>61.9</c:v>
                </c:pt>
                <c:pt idx="16">
                  <c:v>88.5</c:v>
                </c:pt>
                <c:pt idx="17">
                  <c:v>72.7</c:v>
                </c:pt>
                <c:pt idx="18">
                  <c:v>67.900000000000006</c:v>
                </c:pt>
                <c:pt idx="19">
                  <c:v>71.400000000000006</c:v>
                </c:pt>
                <c:pt idx="20">
                  <c:v>77.599999999999994</c:v>
                </c:pt>
                <c:pt idx="21">
                  <c:v>70.099999999999994</c:v>
                </c:pt>
                <c:pt idx="22">
                  <c:v>78.8</c:v>
                </c:pt>
                <c:pt idx="23">
                  <c:v>53.2</c:v>
                </c:pt>
                <c:pt idx="24">
                  <c:v>62.5</c:v>
                </c:pt>
                <c:pt idx="25">
                  <c:v>48.6</c:v>
                </c:pt>
                <c:pt idx="26">
                  <c:v>90</c:v>
                </c:pt>
                <c:pt idx="27">
                  <c:v>89.8</c:v>
                </c:pt>
                <c:pt idx="28">
                  <c:v>76.3</c:v>
                </c:pt>
                <c:pt idx="29">
                  <c:v>59.9</c:v>
                </c:pt>
                <c:pt idx="30">
                  <c:v>93.9</c:v>
                </c:pt>
                <c:pt idx="31">
                  <c:v>64</c:v>
                </c:pt>
                <c:pt idx="32">
                  <c:v>67.900000000000006</c:v>
                </c:pt>
                <c:pt idx="33">
                  <c:v>71.599999999999994</c:v>
                </c:pt>
                <c:pt idx="34">
                  <c:v>74.5</c:v>
                </c:pt>
                <c:pt idx="35">
                  <c:v>76.400000000000006</c:v>
                </c:pt>
                <c:pt idx="36">
                  <c:v>76.8</c:v>
                </c:pt>
                <c:pt idx="37">
                  <c:v>0</c:v>
                </c:pt>
                <c:pt idx="38">
                  <c:v>76.7</c:v>
                </c:pt>
                <c:pt idx="39">
                  <c:v>0</c:v>
                </c:pt>
                <c:pt idx="40">
                  <c:v>75.8</c:v>
                </c:pt>
                <c:pt idx="41">
                  <c:v>75</c:v>
                </c:pt>
                <c:pt idx="42">
                  <c:v>77.599999999999994</c:v>
                </c:pt>
                <c:pt idx="43">
                  <c:v>76.400000000000006</c:v>
                </c:pt>
                <c:pt idx="44">
                  <c:v>65.599999999999994</c:v>
                </c:pt>
                <c:pt idx="45">
                  <c:v>74.599999999999994</c:v>
                </c:pt>
                <c:pt idx="46">
                  <c:v>76.5</c:v>
                </c:pt>
                <c:pt idx="47">
                  <c:v>57.1</c:v>
                </c:pt>
                <c:pt idx="48">
                  <c:v>67.3</c:v>
                </c:pt>
                <c:pt idx="49">
                  <c:v>76.099999999999994</c:v>
                </c:pt>
                <c:pt idx="50">
                  <c:v>87.1</c:v>
                </c:pt>
                <c:pt idx="51">
                  <c:v>78.2</c:v>
                </c:pt>
                <c:pt idx="52">
                  <c:v>87.7</c:v>
                </c:pt>
                <c:pt idx="53">
                  <c:v>66</c:v>
                </c:pt>
                <c:pt idx="54">
                  <c:v>72.5</c:v>
                </c:pt>
                <c:pt idx="55">
                  <c:v>78.099999999999994</c:v>
                </c:pt>
                <c:pt idx="56">
                  <c:v>46.7</c:v>
                </c:pt>
                <c:pt idx="57">
                  <c:v>0</c:v>
                </c:pt>
                <c:pt idx="58">
                  <c:v>51.4</c:v>
                </c:pt>
                <c:pt idx="59">
                  <c:v>80</c:v>
                </c:pt>
                <c:pt idx="60">
                  <c:v>76.900000000000006</c:v>
                </c:pt>
                <c:pt idx="61">
                  <c:v>46.6</c:v>
                </c:pt>
                <c:pt idx="62">
                  <c:v>47.1</c:v>
                </c:pt>
                <c:pt idx="63">
                  <c:v>0</c:v>
                </c:pt>
                <c:pt idx="64">
                  <c:v>82.1</c:v>
                </c:pt>
                <c:pt idx="65">
                  <c:v>61.2</c:v>
                </c:pt>
                <c:pt idx="66">
                  <c:v>61.2</c:v>
                </c:pt>
                <c:pt idx="67">
                  <c:v>75.099999999999994</c:v>
                </c:pt>
                <c:pt idx="68">
                  <c:v>69.900000000000006</c:v>
                </c:pt>
                <c:pt idx="69">
                  <c:v>80.5</c:v>
                </c:pt>
                <c:pt idx="70">
                  <c:v>74.8</c:v>
                </c:pt>
                <c:pt idx="71">
                  <c:v>85.8</c:v>
                </c:pt>
                <c:pt idx="72">
                  <c:v>79.7</c:v>
                </c:pt>
                <c:pt idx="73">
                  <c:v>77.2</c:v>
                </c:pt>
                <c:pt idx="74">
                  <c:v>66.5</c:v>
                </c:pt>
                <c:pt idx="75">
                  <c:v>65.7</c:v>
                </c:pt>
                <c:pt idx="76">
                  <c:v>69.5</c:v>
                </c:pt>
                <c:pt idx="77">
                  <c:v>88.4</c:v>
                </c:pt>
                <c:pt idx="78">
                  <c:v>65.900000000000006</c:v>
                </c:pt>
                <c:pt idx="79">
                  <c:v>72.599999999999994</c:v>
                </c:pt>
                <c:pt idx="80">
                  <c:v>47.6</c:v>
                </c:pt>
                <c:pt idx="81">
                  <c:v>76.8</c:v>
                </c:pt>
                <c:pt idx="82">
                  <c:v>92.6</c:v>
                </c:pt>
                <c:pt idx="83">
                  <c:v>60.7</c:v>
                </c:pt>
                <c:pt idx="84">
                  <c:v>100</c:v>
                </c:pt>
                <c:pt idx="85">
                  <c:v>71.8</c:v>
                </c:pt>
                <c:pt idx="86">
                  <c:v>44.3</c:v>
                </c:pt>
                <c:pt idx="87">
                  <c:v>66.099999999999994</c:v>
                </c:pt>
                <c:pt idx="88">
                  <c:v>83.3</c:v>
                </c:pt>
                <c:pt idx="89">
                  <c:v>90</c:v>
                </c:pt>
                <c:pt idx="90">
                  <c:v>77.2</c:v>
                </c:pt>
                <c:pt idx="91">
                  <c:v>85.7</c:v>
                </c:pt>
                <c:pt idx="92">
                  <c:v>58.2</c:v>
                </c:pt>
                <c:pt idx="93">
                  <c:v>63.2</c:v>
                </c:pt>
                <c:pt idx="94">
                  <c:v>53.2</c:v>
                </c:pt>
                <c:pt idx="95">
                  <c:v>63.9</c:v>
                </c:pt>
                <c:pt idx="96">
                  <c:v>77.599999999999994</c:v>
                </c:pt>
                <c:pt idx="97">
                  <c:v>72.099999999999994</c:v>
                </c:pt>
                <c:pt idx="98">
                  <c:v>78.7</c:v>
                </c:pt>
                <c:pt idx="99">
                  <c:v>60.6</c:v>
                </c:pt>
                <c:pt idx="100">
                  <c:v>61.2</c:v>
                </c:pt>
                <c:pt idx="101">
                  <c:v>72</c:v>
                </c:pt>
                <c:pt idx="102">
                  <c:v>64</c:v>
                </c:pt>
                <c:pt idx="103">
                  <c:v>83</c:v>
                </c:pt>
                <c:pt idx="104">
                  <c:v>63.7</c:v>
                </c:pt>
                <c:pt idx="105">
                  <c:v>65</c:v>
                </c:pt>
                <c:pt idx="106">
                  <c:v>74.2</c:v>
                </c:pt>
                <c:pt idx="107">
                  <c:v>66.099999999999994</c:v>
                </c:pt>
                <c:pt idx="108">
                  <c:v>57.7</c:v>
                </c:pt>
                <c:pt idx="109">
                  <c:v>59</c:v>
                </c:pt>
                <c:pt idx="110">
                  <c:v>75.400000000000006</c:v>
                </c:pt>
                <c:pt idx="111">
                  <c:v>56.4</c:v>
                </c:pt>
                <c:pt idx="112">
                  <c:v>84</c:v>
                </c:pt>
                <c:pt idx="113">
                  <c:v>63.1</c:v>
                </c:pt>
                <c:pt idx="114">
                  <c:v>76.2</c:v>
                </c:pt>
                <c:pt idx="115">
                  <c:v>63.7</c:v>
                </c:pt>
                <c:pt idx="116">
                  <c:v>60.8</c:v>
                </c:pt>
                <c:pt idx="117">
                  <c:v>72.5</c:v>
                </c:pt>
                <c:pt idx="118">
                  <c:v>80.5</c:v>
                </c:pt>
                <c:pt idx="119">
                  <c:v>67.5</c:v>
                </c:pt>
                <c:pt idx="120">
                  <c:v>69.3</c:v>
                </c:pt>
                <c:pt idx="121">
                  <c:v>78.099999999999994</c:v>
                </c:pt>
                <c:pt idx="122">
                  <c:v>78.400000000000006</c:v>
                </c:pt>
                <c:pt idx="123">
                  <c:v>69.599999999999994</c:v>
                </c:pt>
                <c:pt idx="124">
                  <c:v>65.599999999999994</c:v>
                </c:pt>
                <c:pt idx="125">
                  <c:v>70.8</c:v>
                </c:pt>
                <c:pt idx="126">
                  <c:v>68.099999999999994</c:v>
                </c:pt>
                <c:pt idx="127">
                  <c:v>73.099999999999994</c:v>
                </c:pt>
                <c:pt idx="128">
                  <c:v>58.1</c:v>
                </c:pt>
                <c:pt idx="129">
                  <c:v>72.8</c:v>
                </c:pt>
                <c:pt idx="130">
                  <c:v>62.8</c:v>
                </c:pt>
                <c:pt idx="131">
                  <c:v>79.099999999999994</c:v>
                </c:pt>
                <c:pt idx="132">
                  <c:v>63.3</c:v>
                </c:pt>
                <c:pt idx="133">
                  <c:v>63.4</c:v>
                </c:pt>
                <c:pt idx="134">
                  <c:v>74.5</c:v>
                </c:pt>
                <c:pt idx="135">
                  <c:v>70.099999999999994</c:v>
                </c:pt>
                <c:pt idx="136">
                  <c:v>92.8</c:v>
                </c:pt>
                <c:pt idx="137">
                  <c:v>0</c:v>
                </c:pt>
                <c:pt idx="138">
                  <c:v>71.099999999999994</c:v>
                </c:pt>
                <c:pt idx="139">
                  <c:v>81.3</c:v>
                </c:pt>
                <c:pt idx="140">
                  <c:v>64.2</c:v>
                </c:pt>
                <c:pt idx="141">
                  <c:v>60.9</c:v>
                </c:pt>
                <c:pt idx="142">
                  <c:v>61.3</c:v>
                </c:pt>
                <c:pt idx="143">
                  <c:v>53.9</c:v>
                </c:pt>
                <c:pt idx="144">
                  <c:v>83.5</c:v>
                </c:pt>
                <c:pt idx="145">
                  <c:v>66.7</c:v>
                </c:pt>
                <c:pt idx="146">
                  <c:v>65.5</c:v>
                </c:pt>
                <c:pt idx="147">
                  <c:v>48.8</c:v>
                </c:pt>
                <c:pt idx="148">
                  <c:v>55.7</c:v>
                </c:pt>
                <c:pt idx="149">
                  <c:v>84.7</c:v>
                </c:pt>
                <c:pt idx="150">
                  <c:v>73</c:v>
                </c:pt>
                <c:pt idx="151">
                  <c:v>81.7</c:v>
                </c:pt>
                <c:pt idx="152">
                  <c:v>80.400000000000006</c:v>
                </c:pt>
                <c:pt idx="153">
                  <c:v>60</c:v>
                </c:pt>
                <c:pt idx="154">
                  <c:v>94.3</c:v>
                </c:pt>
                <c:pt idx="155">
                  <c:v>89.5</c:v>
                </c:pt>
                <c:pt idx="156">
                  <c:v>64.400000000000006</c:v>
                </c:pt>
                <c:pt idx="157">
                  <c:v>34.299999999999997</c:v>
                </c:pt>
                <c:pt idx="158">
                  <c:v>66.400000000000006</c:v>
                </c:pt>
                <c:pt idx="159">
                  <c:v>72.400000000000006</c:v>
                </c:pt>
                <c:pt idx="160">
                  <c:v>64.3</c:v>
                </c:pt>
                <c:pt idx="161">
                  <c:v>67.8</c:v>
                </c:pt>
                <c:pt idx="162">
                  <c:v>61.7</c:v>
                </c:pt>
                <c:pt idx="163">
                  <c:v>79.2</c:v>
                </c:pt>
                <c:pt idx="164">
                  <c:v>70.599999999999994</c:v>
                </c:pt>
                <c:pt idx="165">
                  <c:v>79.5</c:v>
                </c:pt>
                <c:pt idx="166">
                  <c:v>82.2</c:v>
                </c:pt>
                <c:pt idx="167">
                  <c:v>48.3</c:v>
                </c:pt>
                <c:pt idx="168">
                  <c:v>62.3</c:v>
                </c:pt>
                <c:pt idx="169">
                  <c:v>63.8</c:v>
                </c:pt>
                <c:pt idx="170">
                  <c:v>95.7</c:v>
                </c:pt>
                <c:pt idx="171">
                  <c:v>71.5</c:v>
                </c:pt>
                <c:pt idx="172">
                  <c:v>0</c:v>
                </c:pt>
                <c:pt idx="173">
                  <c:v>51.2</c:v>
                </c:pt>
                <c:pt idx="174">
                  <c:v>71.400000000000006</c:v>
                </c:pt>
                <c:pt idx="175">
                  <c:v>79.8</c:v>
                </c:pt>
                <c:pt idx="176">
                  <c:v>78.599999999999994</c:v>
                </c:pt>
                <c:pt idx="177">
                  <c:v>76.2</c:v>
                </c:pt>
                <c:pt idx="178">
                  <c:v>70.099999999999994</c:v>
                </c:pt>
                <c:pt idx="179">
                  <c:v>70.599999999999994</c:v>
                </c:pt>
                <c:pt idx="180">
                  <c:v>53.1</c:v>
                </c:pt>
                <c:pt idx="181">
                  <c:v>61</c:v>
                </c:pt>
                <c:pt idx="182">
                  <c:v>72.3</c:v>
                </c:pt>
                <c:pt idx="183">
                  <c:v>62.8</c:v>
                </c:pt>
                <c:pt idx="184">
                  <c:v>76.900000000000006</c:v>
                </c:pt>
                <c:pt idx="185">
                  <c:v>74.7</c:v>
                </c:pt>
                <c:pt idx="186">
                  <c:v>83.7</c:v>
                </c:pt>
                <c:pt idx="187">
                  <c:v>79.599999999999994</c:v>
                </c:pt>
                <c:pt idx="188">
                  <c:v>72.3</c:v>
                </c:pt>
                <c:pt idx="189">
                  <c:v>77.5</c:v>
                </c:pt>
                <c:pt idx="190">
                  <c:v>80.099999999999994</c:v>
                </c:pt>
                <c:pt idx="191">
                  <c:v>64.900000000000006</c:v>
                </c:pt>
                <c:pt idx="192">
                  <c:v>66.7</c:v>
                </c:pt>
                <c:pt idx="193">
                  <c:v>69</c:v>
                </c:pt>
                <c:pt idx="194">
                  <c:v>65.2</c:v>
                </c:pt>
                <c:pt idx="195">
                  <c:v>80.2</c:v>
                </c:pt>
                <c:pt idx="196">
                  <c:v>63.7</c:v>
                </c:pt>
                <c:pt idx="197">
                  <c:v>82.5</c:v>
                </c:pt>
                <c:pt idx="198">
                  <c:v>66.3</c:v>
                </c:pt>
                <c:pt idx="199">
                  <c:v>74.7</c:v>
                </c:pt>
                <c:pt idx="200">
                  <c:v>79.099999999999994</c:v>
                </c:pt>
                <c:pt idx="201">
                  <c:v>74.599999999999994</c:v>
                </c:pt>
                <c:pt idx="202">
                  <c:v>58.1</c:v>
                </c:pt>
                <c:pt idx="203">
                  <c:v>53.2</c:v>
                </c:pt>
                <c:pt idx="204">
                  <c:v>76.7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C8-4EEE-9D1A-24605B544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398799"/>
        <c:axId val="1534390639"/>
      </c:scatterChart>
      <c:valAx>
        <c:axId val="153439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390639"/>
        <c:crosses val="autoZero"/>
        <c:crossBetween val="midCat"/>
      </c:valAx>
      <c:valAx>
        <c:axId val="153439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39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[student_screen_time_day2_copy.xlsx]Pivot-1!PivotTable1</c:name>
    <c:fmtId val="3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'Pivot-1'!$B$3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hueMod val="94000"/>
                    <a:satMod val="130000"/>
                    <a:lumMod val="128000"/>
                  </a:schemeClr>
                </a:gs>
                <a:gs pos="100000">
                  <a:schemeClr val="accent1">
                    <a:shade val="94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46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/>
            </a:scene3d>
            <a:sp3d prstMaterial="plastic">
              <a:bevelT w="25400" h="25400"/>
            </a:sp3d>
          </c:spPr>
          <c:invertIfNegative val="0"/>
          <c:cat>
            <c:strRef>
              <c:f>'Pivot-1'!$A$4:$A$6</c:f>
              <c:strCache>
                <c:ptCount val="2"/>
                <c:pt idx="0">
                  <c:v>High</c:v>
                </c:pt>
                <c:pt idx="1">
                  <c:v>Normal</c:v>
                </c:pt>
              </c:strCache>
            </c:strRef>
          </c:cat>
          <c:val>
            <c:numRef>
              <c:f>'Pivot-1'!$B$4:$B$6</c:f>
              <c:numCache>
                <c:formatCode>0.0</c:formatCode>
                <c:ptCount val="2"/>
                <c:pt idx="0">
                  <c:v>71.03627450980396</c:v>
                </c:pt>
                <c:pt idx="1">
                  <c:v>66.539805825242681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A-4563-A81E-030FABE06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72315071"/>
        <c:axId val="872309311"/>
      </c:barChart>
      <c:catAx>
        <c:axId val="872315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309311"/>
        <c:crosses val="autoZero"/>
        <c:auto val="1"/>
        <c:lblAlgn val="ctr"/>
        <c:lblOffset val="100"/>
        <c:noMultiLvlLbl val="0"/>
      </c:catAx>
      <c:valAx>
        <c:axId val="87230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31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19</xdr:col>
      <xdr:colOff>480060</xdr:colOff>
      <xdr:row>28</xdr:row>
      <xdr:rowOff>144780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EC34353-C273-CA89-202A-30CC8AB7BE67}"/>
            </a:ext>
          </a:extLst>
        </xdr:cNvPr>
        <xdr:cNvSpPr/>
      </xdr:nvSpPr>
      <xdr:spPr>
        <a:xfrm>
          <a:off x="0" y="22860"/>
          <a:ext cx="12062460" cy="5242560"/>
        </a:xfrm>
        <a:prstGeom prst="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22860</xdr:rowOff>
    </xdr:from>
    <xdr:to>
      <xdr:col>14</xdr:col>
      <xdr:colOff>76200</xdr:colOff>
      <xdr:row>3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731DF03-1F48-429B-B80D-EC0FE0C8E72B}"/>
            </a:ext>
          </a:extLst>
        </xdr:cNvPr>
        <xdr:cNvSpPr/>
      </xdr:nvSpPr>
      <xdr:spPr>
        <a:xfrm>
          <a:off x="0" y="22860"/>
          <a:ext cx="8610600" cy="7010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  </a:t>
          </a:r>
          <a:r>
            <a:rPr lang="en-IN" sz="2800" b="1">
              <a:solidFill>
                <a:schemeClr val="bg2">
                  <a:lumMod val="75000"/>
                </a:schemeClr>
              </a:solidFill>
            </a:rPr>
            <a:t>Educational Analytics</a:t>
          </a:r>
        </a:p>
      </xdr:txBody>
    </xdr:sp>
    <xdr:clientData/>
  </xdr:twoCellAnchor>
  <xdr:twoCellAnchor>
    <xdr:from>
      <xdr:col>0</xdr:col>
      <xdr:colOff>0</xdr:colOff>
      <xdr:row>5</xdr:row>
      <xdr:rowOff>0</xdr:rowOff>
    </xdr:from>
    <xdr:to>
      <xdr:col>6</xdr:col>
      <xdr:colOff>563880</xdr:colOff>
      <xdr:row>19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24687F-575F-442D-BD92-0D2DB73AE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624840</xdr:colOff>
      <xdr:row>5</xdr:row>
      <xdr:rowOff>15240</xdr:rowOff>
    </xdr:from>
    <xdr:to>
      <xdr:col>13</xdr:col>
      <xdr:colOff>297180</xdr:colOff>
      <xdr:row>19</xdr:row>
      <xdr:rowOff>45720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64370D3-2F6E-4470-B5C1-F2478983D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7620</xdr:rowOff>
    </xdr:from>
    <xdr:to>
      <xdr:col>13</xdr:col>
      <xdr:colOff>137160</xdr:colOff>
      <xdr:row>3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6226A9-67DB-87F3-23A9-8D20F3D0C778}"/>
            </a:ext>
          </a:extLst>
        </xdr:cNvPr>
        <xdr:cNvSpPr txBox="1"/>
      </xdr:nvSpPr>
      <xdr:spPr>
        <a:xfrm>
          <a:off x="22860" y="7620"/>
          <a:ext cx="8039100" cy="708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7620</xdr:rowOff>
    </xdr:from>
    <xdr:to>
      <xdr:col>17</xdr:col>
      <xdr:colOff>419100</xdr:colOff>
      <xdr:row>28</xdr:row>
      <xdr:rowOff>91440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507FF27-FE29-3E7B-F355-3B449F87E508}"/>
            </a:ext>
          </a:extLst>
        </xdr:cNvPr>
        <xdr:cNvSpPr/>
      </xdr:nvSpPr>
      <xdr:spPr>
        <a:xfrm>
          <a:off x="0" y="7620"/>
          <a:ext cx="11818620" cy="4991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449580</xdr:colOff>
      <xdr:row>1</xdr:row>
      <xdr:rowOff>91440</xdr:rowOff>
    </xdr:from>
    <xdr:to>
      <xdr:col>11</xdr:col>
      <xdr:colOff>342900</xdr:colOff>
      <xdr:row>6</xdr:row>
      <xdr:rowOff>53340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D16581-A067-AE83-E051-6FDDAED46D8E}"/>
            </a:ext>
          </a:extLst>
        </xdr:cNvPr>
        <xdr:cNvSpPr/>
      </xdr:nvSpPr>
      <xdr:spPr>
        <a:xfrm>
          <a:off x="4472940" y="266700"/>
          <a:ext cx="3246120" cy="8382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800" b="1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Insights</a:t>
          </a:r>
        </a:p>
      </xdr:txBody>
    </xdr:sp>
    <xdr:clientData/>
  </xdr:twoCellAnchor>
  <xdr:oneCellAnchor>
    <xdr:from>
      <xdr:col>0</xdr:col>
      <xdr:colOff>0</xdr:colOff>
      <xdr:row>6</xdr:row>
      <xdr:rowOff>121920</xdr:rowOff>
    </xdr:from>
    <xdr:ext cx="11818620" cy="40233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7D6FDA4-42C7-1EE4-2AA0-20051A72752B}"/>
            </a:ext>
          </a:extLst>
        </xdr:cNvPr>
        <xdr:cNvSpPr txBox="1"/>
      </xdr:nvSpPr>
      <xdr:spPr>
        <a:xfrm>
          <a:off x="0" y="1173480"/>
          <a:ext cx="11818620" cy="4023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vl="0"/>
          <a:r>
            <a:rPr lang="en-IN" sz="1200" b="1">
              <a:solidFill>
                <a:schemeClr val="bg2">
                  <a:lumMod val="75000"/>
                </a:schemeClr>
              </a:solidFill>
            </a:rPr>
            <a:t>Insights &amp; Reporting</a:t>
          </a:r>
        </a:p>
        <a:p>
          <a:pPr lvl="0"/>
          <a:r>
            <a:rPr lang="en-IN" sz="1200" b="1">
              <a:solidFill>
                <a:schemeClr val="tx1"/>
              </a:solidFill>
            </a:rPr>
            <a:t> </a:t>
          </a:r>
          <a:endParaRPr lang="en-IN" sz="1200" b="1" baseline="0">
            <a:solidFill>
              <a:schemeClr val="tx1"/>
            </a:solidFill>
          </a:endParaRPr>
        </a:p>
        <a:p>
          <a:pPr lvl="0"/>
          <a:r>
            <a:rPr lang="en-IN" sz="1600" b="1">
              <a:solidFill>
                <a:schemeClr val="tx1"/>
              </a:solidFill>
            </a:rPr>
            <a:t>∙       </a:t>
          </a:r>
          <a:r>
            <a:rPr lang="en-IN" sz="1200" b="1">
              <a:solidFill>
                <a:schemeClr val="tx1"/>
              </a:solidFill>
            </a:rPr>
            <a:t>Screen time 2:</a:t>
          </a:r>
          <a:r>
            <a:rPr lang="en-IN" sz="1200" b="1" baseline="0">
              <a:solidFill>
                <a:schemeClr val="tx1"/>
              </a:solidFill>
            </a:rPr>
            <a:t>  i have created screen time2,  i used formula =IF(D2&gt;4,"High","Normal") student who exceed 4 hours of daily screen time</a:t>
          </a:r>
        </a:p>
        <a:p>
          <a:pPr lvl="0"/>
          <a:r>
            <a:rPr lang="en-IN" sz="1200" b="1" baseline="0">
              <a:solidFill>
                <a:schemeClr val="tx1"/>
              </a:solidFill>
            </a:rPr>
            <a:t>                            on average , "High", "Normal" category</a:t>
          </a:r>
        </a:p>
        <a:p>
          <a:pPr marL="457200" lvl="0" indent="-457200">
            <a:buFont typeface="Arial" panose="020B0604020202020204" pitchFamily="34" charset="0"/>
            <a:buChar char="•"/>
          </a:pPr>
          <a:r>
            <a:rPr lang="en-IN" sz="1200" b="1" baseline="0">
              <a:solidFill>
                <a:schemeClr val="tx1"/>
              </a:solidFill>
            </a:rPr>
            <a:t>Study v/s Screen ratio: Students with a higher  study/screen ratio achieve higher test score</a:t>
          </a:r>
        </a:p>
        <a:p>
          <a:pPr marL="457200" lvl="0" indent="-457200">
            <a:buFont typeface="Arial" panose="020B0604020202020204" pitchFamily="34" charset="0"/>
            <a:buChar char="•"/>
          </a:pPr>
          <a:endParaRPr lang="en-IN" sz="1200" b="1" baseline="0">
            <a:solidFill>
              <a:schemeClr val="tx1"/>
            </a:solidFill>
          </a:endParaRPr>
        </a:p>
        <a:p>
          <a:pPr marL="457200" lvl="0" indent="-457200">
            <a:buFont typeface="Arial" panose="020B0604020202020204" pitchFamily="34" charset="0"/>
            <a:buChar char="•"/>
          </a:pPr>
          <a:r>
            <a:rPr lang="en-IN" sz="1200" b="1" baseline="0">
              <a:solidFill>
                <a:schemeClr val="tx1"/>
              </a:solidFill>
            </a:rPr>
            <a:t>The scatter plot confirms that as screen time increases, test scores tend to decrease.</a:t>
          </a:r>
        </a:p>
        <a:p>
          <a:pPr marL="457200" lvl="0" indent="-457200">
            <a:buFont typeface="Arial" panose="020B0604020202020204" pitchFamily="34" charset="0"/>
            <a:buChar char="•"/>
          </a:pPr>
          <a:endParaRPr lang="en-IN" sz="1200" b="1" baseline="0">
            <a:solidFill>
              <a:schemeClr val="tx1"/>
            </a:solidFill>
          </a:endParaRPr>
        </a:p>
        <a:p>
          <a:pPr marL="457200" lvl="0" indent="-457200">
            <a:buFont typeface="Arial" panose="020B0604020202020204" pitchFamily="34" charset="0"/>
            <a:buChar char="•"/>
          </a:pPr>
          <a:r>
            <a:rPr lang="en-IN" sz="1200" b="1"/>
            <a:t>Increased study hours positively impact test scores</a:t>
          </a:r>
          <a:r>
            <a:rPr lang="en-IN" sz="1200"/>
            <a:t>.</a:t>
          </a:r>
        </a:p>
        <a:p>
          <a:pPr marL="457200" lvl="0" indent="-457200">
            <a:buFont typeface="Arial" panose="020B0604020202020204" pitchFamily="34" charset="0"/>
            <a:buChar char="•"/>
          </a:pPr>
          <a:endParaRPr lang="en-IN" sz="1200" b="1" baseline="0">
            <a:solidFill>
              <a:schemeClr val="tx1"/>
            </a:solidFill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 b="1"/>
            <a:t>       Balanced extracurricular involvement enhances performance</a:t>
          </a:r>
          <a:r>
            <a:rPr lang="en-IN" sz="1200"/>
            <a:t>.</a:t>
          </a:r>
        </a:p>
        <a:p>
          <a:endParaRPr lang="en-IN" sz="120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 b="1"/>
            <a:t>       Students with high screen time and low study hours are at the highest academic risk.</a:t>
          </a:r>
        </a:p>
        <a:p>
          <a:pPr marL="457200" lvl="0" indent="-457200">
            <a:buFont typeface="Arial" panose="020B0604020202020204" pitchFamily="34" charset="0"/>
            <a:buChar char="•"/>
          </a:pPr>
          <a:endParaRPr lang="en-IN" sz="1200" b="1" baseline="0">
            <a:solidFill>
              <a:schemeClr val="tx1"/>
            </a:solidFill>
          </a:endParaRPr>
        </a:p>
        <a:p>
          <a:pPr lvl="0"/>
          <a:endParaRPr lang="en-IN" sz="1200" b="1" baseline="0">
            <a:solidFill>
              <a:schemeClr val="tx1"/>
            </a:solidFill>
          </a:endParaRPr>
        </a:p>
        <a:p>
          <a:pPr lvl="0"/>
          <a:endParaRPr lang="en-IN" sz="1200" b="1" baseline="0">
            <a:solidFill>
              <a:schemeClr val="tx1"/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" refreshedDate="46098.062087268518" createdVersion="8" refreshedVersion="8" minRefreshableVersion="3" recordCount="205" xr:uid="{2B0A8990-9C85-4205-9E9A-94871ECE71A8}">
  <cacheSource type="worksheet">
    <worksheetSource name="Table1__2"/>
  </cacheSource>
  <cacheFields count="8">
    <cacheField name="Student ID" numFmtId="0">
      <sharedItems containsSemiMixedTypes="0" containsString="0" containsNumber="1" containsInteger="1" minValue="1" maxValue="200"/>
    </cacheField>
    <cacheField name="Age" numFmtId="0">
      <sharedItems containsSemiMixedTypes="0" containsString="0" containsNumber="1" containsInteger="1" minValue="13" maxValue="17"/>
    </cacheField>
    <cacheField name="Study Hours" numFmtId="0">
      <sharedItems containsSemiMixedTypes="0" containsString="0" containsNumber="1" minValue="0" maxValue="5.8"/>
    </cacheField>
    <cacheField name="Screen Time" numFmtId="0">
      <sharedItems containsSemiMixedTypes="0" containsString="0" containsNumber="1" minValue="0" maxValue="7.9" count="60">
        <n v="2.7"/>
        <n v="4"/>
        <n v="4.3"/>
        <n v="2.8"/>
        <n v="1.8"/>
        <n v="4.4000000000000004"/>
        <n v="6.7"/>
        <n v="4.5999999999999996"/>
        <n v="4.0999999999999996"/>
        <n v="3.6"/>
        <n v="5.8"/>
        <n v="0"/>
        <n v="2"/>
        <n v="1.6"/>
        <n v="5.6"/>
        <n v="3.5"/>
        <n v="4.7"/>
        <n v="5.2"/>
        <n v="6"/>
        <n v="2.6"/>
        <n v="0.5"/>
        <n v="2.5"/>
        <n v="2.9"/>
        <n v="1.2"/>
        <n v="3.1"/>
        <n v="6.4"/>
        <n v="5"/>
        <n v="4.8"/>
        <n v="5.3"/>
        <n v="5.7"/>
        <n v="3.2"/>
        <n v="1.9"/>
        <n v="3.9"/>
        <n v="0.2"/>
        <n v="4.9000000000000004"/>
        <n v="3.7"/>
        <n v="3.3"/>
        <n v="2.2000000000000002"/>
        <n v="3"/>
        <n v="1.7"/>
        <n v="3.8"/>
        <n v="4.2"/>
        <n v="6.1"/>
        <n v="4.5"/>
        <n v="3.4"/>
        <n v="6.9"/>
        <n v="7.8"/>
        <n v="7.1"/>
        <n v="1"/>
        <n v="0.9"/>
        <n v="7.5"/>
        <n v="2.2999999999999998"/>
        <n v="5.5"/>
        <n v="6.5"/>
        <n v="7.6"/>
        <n v="1.5"/>
        <n v="2.1"/>
        <n v="7.9"/>
        <n v="6.2"/>
        <n v="7"/>
      </sharedItems>
    </cacheField>
    <cacheField name="Test Scores" numFmtId="0">
      <sharedItems containsSemiMixedTypes="0" containsString="0" containsNumber="1" minValue="0" maxValue="100" count="159">
        <n v="75"/>
        <n v="68.099999999999994"/>
        <n v="67.900000000000006"/>
        <n v="47.2"/>
        <n v="78"/>
        <n v="71.5"/>
        <n v="88"/>
        <n v="69.3"/>
        <n v="75.7"/>
        <n v="78.3"/>
        <n v="52.5"/>
        <n v="96.2"/>
        <n v="65.7"/>
        <n v="74.900000000000006"/>
        <n v="76.400000000000006"/>
        <n v="61.9"/>
        <n v="88.5"/>
        <n v="72.7"/>
        <n v="71.400000000000006"/>
        <n v="77.599999999999994"/>
        <n v="70.099999999999994"/>
        <n v="78.8"/>
        <n v="53.2"/>
        <n v="62.5"/>
        <n v="48.6"/>
        <n v="90"/>
        <n v="89.8"/>
        <n v="76.3"/>
        <n v="59.9"/>
        <n v="93.9"/>
        <n v="64"/>
        <n v="71.599999999999994"/>
        <n v="74.5"/>
        <n v="76.8"/>
        <n v="0"/>
        <n v="76.7"/>
        <n v="75.8"/>
        <n v="65.599999999999994"/>
        <n v="74.599999999999994"/>
        <n v="76.5"/>
        <n v="57.1"/>
        <n v="67.3"/>
        <n v="76.099999999999994"/>
        <n v="87.1"/>
        <n v="78.2"/>
        <n v="87.7"/>
        <n v="66"/>
        <n v="72.5"/>
        <n v="78.099999999999994"/>
        <n v="46.7"/>
        <n v="51.4"/>
        <n v="80"/>
        <n v="76.900000000000006"/>
        <n v="46.6"/>
        <n v="47.1"/>
        <n v="82.1"/>
        <n v="61.2"/>
        <n v="75.099999999999994"/>
        <n v="69.900000000000006"/>
        <n v="80.5"/>
        <n v="74.8"/>
        <n v="85.8"/>
        <n v="79.7"/>
        <n v="77.2"/>
        <n v="66.5"/>
        <n v="69.5"/>
        <n v="88.4"/>
        <n v="65.900000000000006"/>
        <n v="72.599999999999994"/>
        <n v="47.6"/>
        <n v="92.6"/>
        <n v="60.7"/>
        <n v="100"/>
        <n v="71.8"/>
        <n v="44.3"/>
        <n v="66.099999999999994"/>
        <n v="83.3"/>
        <n v="85.7"/>
        <n v="58.2"/>
        <n v="63.2"/>
        <n v="63.9"/>
        <n v="72.099999999999994"/>
        <n v="78.7"/>
        <n v="60.6"/>
        <n v="72"/>
        <n v="83"/>
        <n v="63.7"/>
        <n v="65"/>
        <n v="74.2"/>
        <n v="57.7"/>
        <n v="59"/>
        <n v="75.400000000000006"/>
        <n v="56.4"/>
        <n v="84"/>
        <n v="63.1"/>
        <n v="76.2"/>
        <n v="60.8"/>
        <n v="67.5"/>
        <n v="78.400000000000006"/>
        <n v="69.599999999999994"/>
        <n v="70.8"/>
        <n v="73.099999999999994"/>
        <n v="58.1"/>
        <n v="72.8"/>
        <n v="62.8"/>
        <n v="79.099999999999994"/>
        <n v="63.3"/>
        <n v="63.4"/>
        <n v="92.8"/>
        <n v="71.099999999999994"/>
        <n v="81.3"/>
        <n v="64.2"/>
        <n v="60.9"/>
        <n v="61.3"/>
        <n v="53.9"/>
        <n v="83.5"/>
        <n v="66.7"/>
        <n v="65.5"/>
        <n v="48.8"/>
        <n v="55.7"/>
        <n v="84.7"/>
        <n v="73"/>
        <n v="81.7"/>
        <n v="80.400000000000006"/>
        <n v="60"/>
        <n v="94.3"/>
        <n v="89.5"/>
        <n v="64.400000000000006"/>
        <n v="34.299999999999997"/>
        <n v="66.400000000000006"/>
        <n v="72.400000000000006"/>
        <n v="64.3"/>
        <n v="67.8"/>
        <n v="61.7"/>
        <n v="79.2"/>
        <n v="70.599999999999994"/>
        <n v="79.5"/>
        <n v="82.2"/>
        <n v="48.3"/>
        <n v="62.3"/>
        <n v="63.8"/>
        <n v="95.7"/>
        <n v="51.2"/>
        <n v="79.8"/>
        <n v="78.599999999999994"/>
        <n v="53.1"/>
        <n v="61"/>
        <n v="72.3"/>
        <n v="74.7"/>
        <n v="83.7"/>
        <n v="79.599999999999994"/>
        <n v="77.5"/>
        <n v="80.099999999999994"/>
        <n v="64.900000000000006"/>
        <n v="69"/>
        <n v="65.2"/>
        <n v="80.2"/>
        <n v="82.5"/>
        <n v="66.3"/>
      </sharedItems>
    </cacheField>
    <cacheField name="Extra Curricular Hours" numFmtId="0">
      <sharedItems containsSemiMixedTypes="0" containsString="0" containsNumber="1" minValue="0" maxValue="3.7"/>
    </cacheField>
    <cacheField name="screen time2" numFmtId="0">
      <sharedItems count="2">
        <s v="Normal"/>
        <s v="High"/>
      </sharedItems>
    </cacheField>
    <cacheField name="Study/Screen ratio" numFmtId="0">
      <sharedItems containsSemiMixedTypes="0" containsString="0" containsNumber="1" minValue="0" maxValue="5.999999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" refreshedDate="46098.083407523147" createdVersion="8" refreshedVersion="8" minRefreshableVersion="3" recordCount="206" xr:uid="{91C530A9-0730-4155-BE1B-E45177B15298}">
  <cacheSource type="worksheet">
    <worksheetSource ref="A1:H1048576" sheet="Student-screen-time"/>
  </cacheSource>
  <cacheFields count="8">
    <cacheField name="Student ID" numFmtId="0">
      <sharedItems containsString="0" containsBlank="1" containsNumber="1" containsInteger="1" minValue="1" maxValue="200"/>
    </cacheField>
    <cacheField name="Age" numFmtId="0">
      <sharedItems containsString="0" containsBlank="1" containsNumber="1" containsInteger="1" minValue="13" maxValue="17" count="6">
        <n v="16"/>
        <n v="17"/>
        <n v="15"/>
        <n v="14"/>
        <n v="13"/>
        <m/>
      </sharedItems>
    </cacheField>
    <cacheField name="Study Hours" numFmtId="0">
      <sharedItems containsString="0" containsBlank="1" containsNumber="1" minValue="0" maxValue="5.8"/>
    </cacheField>
    <cacheField name="Screen Time" numFmtId="0">
      <sharedItems containsString="0" containsBlank="1" containsNumber="1" minValue="0" maxValue="7.9"/>
    </cacheField>
    <cacheField name="Test Scores" numFmtId="0">
      <sharedItems containsString="0" containsBlank="1" containsNumber="1" minValue="0" maxValue="100"/>
    </cacheField>
    <cacheField name="Extra Curricular Hours" numFmtId="0">
      <sharedItems containsString="0" containsBlank="1" containsNumber="1" minValue="0" maxValue="3.7"/>
    </cacheField>
    <cacheField name="screen time2" numFmtId="0">
      <sharedItems containsBlank="1"/>
    </cacheField>
    <cacheField name="Study/Screen ratio" numFmtId="0">
      <sharedItems containsString="0" containsBlank="1" containsNumber="1" minValue="0" maxValue="5.999999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n v="1"/>
    <n v="16"/>
    <n v="2.5"/>
    <x v="0"/>
    <x v="0"/>
    <n v="1.6"/>
    <x v="0"/>
    <n v="0.92592592592592582"/>
  </r>
  <r>
    <n v="2"/>
    <n v="17"/>
    <n v="2.7"/>
    <x v="1"/>
    <x v="1"/>
    <n v="0.7"/>
    <x v="0"/>
    <n v="0.67500000000000004"/>
  </r>
  <r>
    <n v="3"/>
    <n v="15"/>
    <n v="3"/>
    <x v="2"/>
    <x v="2"/>
    <n v="1.5"/>
    <x v="1"/>
    <n v="0.69767441860465118"/>
  </r>
  <r>
    <n v="4"/>
    <n v="17"/>
    <n v="3"/>
    <x v="3"/>
    <x v="3"/>
    <n v="1.8"/>
    <x v="0"/>
    <n v="1.0714285714285714"/>
  </r>
  <r>
    <n v="5"/>
    <n v="17"/>
    <n v="0"/>
    <x v="4"/>
    <x v="4"/>
    <n v="1.4"/>
    <x v="0"/>
    <n v="0"/>
  </r>
  <r>
    <n v="6"/>
    <n v="14"/>
    <n v="1.3"/>
    <x v="5"/>
    <x v="5"/>
    <n v="0.4"/>
    <x v="1"/>
    <n v="0.29545454545454541"/>
  </r>
  <r>
    <n v="7"/>
    <n v="15"/>
    <n v="3.3"/>
    <x v="6"/>
    <x v="6"/>
    <n v="2.9"/>
    <x v="1"/>
    <n v="0.4925373134328358"/>
  </r>
  <r>
    <n v="8"/>
    <n v="15"/>
    <n v="2.9"/>
    <x v="7"/>
    <x v="7"/>
    <n v="1.6"/>
    <x v="1"/>
    <n v="0.63043478260869568"/>
  </r>
  <r>
    <n v="9"/>
    <n v="15"/>
    <n v="1.4"/>
    <x v="8"/>
    <x v="8"/>
    <n v="0.9"/>
    <x v="1"/>
    <n v="0.34146341463414637"/>
  </r>
  <r>
    <n v="10"/>
    <n v="17"/>
    <n v="1.8"/>
    <x v="8"/>
    <x v="9"/>
    <n v="2.8"/>
    <x v="1"/>
    <n v="0.4390243902439025"/>
  </r>
  <r>
    <n v="11"/>
    <n v="16"/>
    <n v="3.4"/>
    <x v="9"/>
    <x v="10"/>
    <n v="2"/>
    <x v="0"/>
    <n v="0.94444444444444442"/>
  </r>
  <r>
    <n v="12"/>
    <n v="15"/>
    <n v="3.1"/>
    <x v="10"/>
    <x v="11"/>
    <n v="0.5"/>
    <x v="1"/>
    <n v="0.53448275862068972"/>
  </r>
  <r>
    <n v="13"/>
    <n v="17"/>
    <n v="1.8"/>
    <x v="11"/>
    <x v="12"/>
    <n v="0.7"/>
    <x v="0"/>
    <n v="0"/>
  </r>
  <r>
    <n v="14"/>
    <n v="14"/>
    <n v="2.2000000000000002"/>
    <x v="12"/>
    <x v="13"/>
    <n v="1.3"/>
    <x v="0"/>
    <n v="1.1000000000000001"/>
  </r>
  <r>
    <n v="15"/>
    <n v="16"/>
    <n v="2.4"/>
    <x v="13"/>
    <x v="14"/>
    <n v="1.7"/>
    <x v="0"/>
    <n v="1.4999999999999998"/>
  </r>
  <r>
    <n v="16"/>
    <n v="14"/>
    <n v="3.1"/>
    <x v="8"/>
    <x v="15"/>
    <n v="2"/>
    <x v="1"/>
    <n v="0.75609756097560987"/>
  </r>
  <r>
    <n v="17"/>
    <n v="16"/>
    <n v="3.7"/>
    <x v="14"/>
    <x v="16"/>
    <n v="2.2999999999999998"/>
    <x v="1"/>
    <n v="0.66071428571428581"/>
  </r>
  <r>
    <n v="18"/>
    <n v="17"/>
    <n v="2.6"/>
    <x v="5"/>
    <x v="17"/>
    <n v="1.9"/>
    <x v="1"/>
    <n v="0.59090909090909083"/>
  </r>
  <r>
    <n v="19"/>
    <n v="13"/>
    <n v="0"/>
    <x v="15"/>
    <x v="2"/>
    <n v="2.6"/>
    <x v="0"/>
    <n v="0"/>
  </r>
  <r>
    <n v="20"/>
    <n v="16"/>
    <n v="3.4"/>
    <x v="16"/>
    <x v="18"/>
    <n v="1.6"/>
    <x v="1"/>
    <n v="0.72340425531914887"/>
  </r>
  <r>
    <n v="21"/>
    <n v="14"/>
    <n v="2.7"/>
    <x v="2"/>
    <x v="19"/>
    <n v="0.9"/>
    <x v="1"/>
    <n v="0.62790697674418616"/>
  </r>
  <r>
    <n v="22"/>
    <n v="17"/>
    <n v="1.1000000000000001"/>
    <x v="17"/>
    <x v="20"/>
    <n v="1.5"/>
    <x v="1"/>
    <n v="0.21153846153846154"/>
  </r>
  <r>
    <n v="23"/>
    <n v="16"/>
    <n v="1.5"/>
    <x v="18"/>
    <x v="21"/>
    <n v="1.4"/>
    <x v="1"/>
    <n v="0.25"/>
  </r>
  <r>
    <n v="24"/>
    <n v="13"/>
    <n v="3.2"/>
    <x v="19"/>
    <x v="22"/>
    <n v="0"/>
    <x v="0"/>
    <n v="1.2307692307692308"/>
  </r>
  <r>
    <n v="25"/>
    <n v="13"/>
    <n v="0.8"/>
    <x v="20"/>
    <x v="23"/>
    <n v="1.1000000000000001"/>
    <x v="0"/>
    <n v="1.6"/>
  </r>
  <r>
    <n v="26"/>
    <n v="15"/>
    <n v="2.6"/>
    <x v="15"/>
    <x v="24"/>
    <n v="1.8"/>
    <x v="0"/>
    <n v="0.74285714285714288"/>
  </r>
  <r>
    <n v="27"/>
    <n v="15"/>
    <n v="3.5"/>
    <x v="21"/>
    <x v="25"/>
    <n v="1.2"/>
    <x v="0"/>
    <n v="1.4"/>
  </r>
  <r>
    <n v="28"/>
    <n v="14"/>
    <n v="2.7"/>
    <x v="17"/>
    <x v="26"/>
    <n v="1"/>
    <x v="1"/>
    <n v="0.51923076923076927"/>
  </r>
  <r>
    <n v="29"/>
    <n v="16"/>
    <n v="1.9"/>
    <x v="22"/>
    <x v="27"/>
    <n v="2.2000000000000002"/>
    <x v="0"/>
    <n v="0.65517241379310343"/>
  </r>
  <r>
    <n v="30"/>
    <n v="16"/>
    <n v="1.7"/>
    <x v="23"/>
    <x v="28"/>
    <n v="0.8"/>
    <x v="0"/>
    <n v="1.4166666666666667"/>
  </r>
  <r>
    <n v="31"/>
    <n v="15"/>
    <n v="3.3"/>
    <x v="24"/>
    <x v="29"/>
    <n v="2.1"/>
    <x v="0"/>
    <n v="1.064516129032258"/>
  </r>
  <r>
    <n v="32"/>
    <n v="16"/>
    <n v="3"/>
    <x v="4"/>
    <x v="30"/>
    <n v="0.4"/>
    <x v="0"/>
    <n v="1.6666666666666665"/>
  </r>
  <r>
    <n v="33"/>
    <n v="16"/>
    <n v="2.2000000000000002"/>
    <x v="25"/>
    <x v="2"/>
    <n v="3.7"/>
    <x v="1"/>
    <n v="0.34375"/>
  </r>
  <r>
    <n v="34"/>
    <n v="13"/>
    <n v="3.6"/>
    <x v="16"/>
    <x v="31"/>
    <n v="1.3"/>
    <x v="1"/>
    <n v="0.76595744680851063"/>
  </r>
  <r>
    <n v="35"/>
    <n v="15"/>
    <n v="3.4"/>
    <x v="26"/>
    <x v="32"/>
    <n v="1.2"/>
    <x v="1"/>
    <n v="0.67999999999999994"/>
  </r>
  <r>
    <n v="36"/>
    <n v="17"/>
    <n v="4.3"/>
    <x v="27"/>
    <x v="14"/>
    <n v="2.4"/>
    <x v="1"/>
    <n v="0.89583333333333337"/>
  </r>
  <r>
    <n v="37"/>
    <n v="15"/>
    <n v="3.1"/>
    <x v="28"/>
    <x v="33"/>
    <n v="1.2"/>
    <x v="1"/>
    <n v="0.58490566037735847"/>
  </r>
  <r>
    <n v="38"/>
    <n v="17"/>
    <n v="2.2999999999999998"/>
    <x v="29"/>
    <x v="34"/>
    <n v="2.7"/>
    <x v="1"/>
    <n v="0.40350877192982454"/>
  </r>
  <r>
    <n v="39"/>
    <n v="13"/>
    <n v="2.4"/>
    <x v="30"/>
    <x v="35"/>
    <n v="1.8"/>
    <x v="0"/>
    <n v="0.74999999999999989"/>
  </r>
  <r>
    <n v="40"/>
    <n v="14"/>
    <n v="0.6"/>
    <x v="31"/>
    <x v="34"/>
    <n v="1.4"/>
    <x v="0"/>
    <n v="0.31578947368421051"/>
  </r>
  <r>
    <n v="41"/>
    <n v="16"/>
    <n v="2.7"/>
    <x v="0"/>
    <x v="36"/>
    <n v="1.3"/>
    <x v="0"/>
    <n v="1"/>
  </r>
  <r>
    <n v="42"/>
    <n v="13"/>
    <n v="0"/>
    <x v="32"/>
    <x v="0"/>
    <n v="2.5"/>
    <x v="0"/>
    <n v="0"/>
  </r>
  <r>
    <n v="43"/>
    <n v="16"/>
    <n v="1.2"/>
    <x v="33"/>
    <x v="19"/>
    <n v="1.7"/>
    <x v="0"/>
    <n v="5.9999999999999991"/>
  </r>
  <r>
    <n v="44"/>
    <n v="14"/>
    <n v="2.5"/>
    <x v="29"/>
    <x v="14"/>
    <n v="1.8"/>
    <x v="1"/>
    <n v="0.43859649122807015"/>
  </r>
  <r>
    <n v="45"/>
    <n v="14"/>
    <n v="3.8"/>
    <x v="23"/>
    <x v="37"/>
    <n v="1.9"/>
    <x v="0"/>
    <n v="3.1666666666666665"/>
  </r>
  <r>
    <n v="46"/>
    <n v="13"/>
    <n v="1.8"/>
    <x v="34"/>
    <x v="38"/>
    <n v="1.6"/>
    <x v="1"/>
    <n v="0.36734693877551017"/>
  </r>
  <r>
    <n v="47"/>
    <n v="14"/>
    <n v="1.5"/>
    <x v="35"/>
    <x v="39"/>
    <n v="1.9"/>
    <x v="0"/>
    <n v="0.40540540540540537"/>
  </r>
  <r>
    <n v="48"/>
    <n v="17"/>
    <n v="3.6"/>
    <x v="5"/>
    <x v="40"/>
    <n v="1.4"/>
    <x v="1"/>
    <n v="0.81818181818181812"/>
  </r>
  <r>
    <n v="49"/>
    <n v="14"/>
    <n v="3.1"/>
    <x v="36"/>
    <x v="41"/>
    <n v="1.5"/>
    <x v="0"/>
    <n v="0.93939393939393945"/>
  </r>
  <r>
    <n v="50"/>
    <n v="16"/>
    <n v="5.6"/>
    <x v="2"/>
    <x v="42"/>
    <n v="0.6"/>
    <x v="1"/>
    <n v="1.3023255813953487"/>
  </r>
  <r>
    <n v="51"/>
    <n v="16"/>
    <n v="1.2"/>
    <x v="36"/>
    <x v="43"/>
    <n v="1.7"/>
    <x v="0"/>
    <n v="0.36363636363636365"/>
  </r>
  <r>
    <n v="52"/>
    <n v="16"/>
    <n v="3.2"/>
    <x v="30"/>
    <x v="44"/>
    <n v="0.1"/>
    <x v="0"/>
    <n v="1"/>
  </r>
  <r>
    <n v="53"/>
    <n v="16"/>
    <n v="2.8"/>
    <x v="0"/>
    <x v="45"/>
    <n v="1.7"/>
    <x v="0"/>
    <n v="1.037037037037037"/>
  </r>
  <r>
    <n v="54"/>
    <n v="17"/>
    <n v="2.6"/>
    <x v="11"/>
    <x v="46"/>
    <n v="1.3"/>
    <x v="0"/>
    <n v="0"/>
  </r>
  <r>
    <n v="55"/>
    <n v="15"/>
    <n v="3.4"/>
    <x v="7"/>
    <x v="47"/>
    <n v="1.8"/>
    <x v="1"/>
    <n v="0.73913043478260876"/>
  </r>
  <r>
    <n v="56"/>
    <n v="13"/>
    <n v="2.5"/>
    <x v="2"/>
    <x v="48"/>
    <n v="0.7"/>
    <x v="1"/>
    <n v="0.58139534883720934"/>
  </r>
  <r>
    <n v="57"/>
    <n v="16"/>
    <n v="0.6"/>
    <x v="0"/>
    <x v="49"/>
    <n v="0"/>
    <x v="0"/>
    <n v="0.22222222222222221"/>
  </r>
  <r>
    <n v="58"/>
    <n v="14"/>
    <n v="1.7"/>
    <x v="9"/>
    <x v="34"/>
    <n v="1.2"/>
    <x v="0"/>
    <n v="0.47222222222222221"/>
  </r>
  <r>
    <n v="59"/>
    <n v="16"/>
    <n v="3.9"/>
    <x v="21"/>
    <x v="50"/>
    <n v="0.7"/>
    <x v="0"/>
    <n v="1.56"/>
  </r>
  <r>
    <n v="60"/>
    <n v="14"/>
    <n v="3.7"/>
    <x v="36"/>
    <x v="51"/>
    <n v="0.1"/>
    <x v="0"/>
    <n v="1.1212121212121213"/>
  </r>
  <r>
    <n v="61"/>
    <n v="14"/>
    <n v="2.1"/>
    <x v="37"/>
    <x v="52"/>
    <n v="2.1"/>
    <x v="0"/>
    <n v="0.95454545454545447"/>
  </r>
  <r>
    <n v="62"/>
    <n v="16"/>
    <n v="3"/>
    <x v="25"/>
    <x v="53"/>
    <n v="2.8"/>
    <x v="1"/>
    <n v="0.46875"/>
  </r>
  <r>
    <n v="63"/>
    <n v="17"/>
    <n v="5.3"/>
    <x v="11"/>
    <x v="54"/>
    <n v="0.9"/>
    <x v="0"/>
    <n v="0"/>
  </r>
  <r>
    <n v="64"/>
    <n v="14"/>
    <n v="2.5"/>
    <x v="0"/>
    <x v="34"/>
    <n v="1.4"/>
    <x v="0"/>
    <n v="0.92592592592592582"/>
  </r>
  <r>
    <n v="65"/>
    <n v="14"/>
    <n v="2.5"/>
    <x v="12"/>
    <x v="55"/>
    <n v="1.3"/>
    <x v="0"/>
    <n v="1.25"/>
  </r>
  <r>
    <n v="66"/>
    <n v="16"/>
    <n v="2.7"/>
    <x v="3"/>
    <x v="56"/>
    <n v="1"/>
    <x v="0"/>
    <n v="0.96428571428571441"/>
  </r>
  <r>
    <n v="67"/>
    <n v="14"/>
    <n v="3.1"/>
    <x v="36"/>
    <x v="56"/>
    <n v="2"/>
    <x v="0"/>
    <n v="0.93939393939393945"/>
  </r>
  <r>
    <n v="68"/>
    <n v="14"/>
    <n v="2.2000000000000002"/>
    <x v="32"/>
    <x v="57"/>
    <n v="2.2999999999999998"/>
    <x v="0"/>
    <n v="0.56410256410256421"/>
  </r>
  <r>
    <n v="69"/>
    <n v="16"/>
    <n v="3.1"/>
    <x v="38"/>
    <x v="58"/>
    <n v="0.8"/>
    <x v="0"/>
    <n v="1.0333333333333334"/>
  </r>
  <r>
    <n v="70"/>
    <n v="16"/>
    <n v="0.6"/>
    <x v="13"/>
    <x v="59"/>
    <n v="1.5"/>
    <x v="0"/>
    <n v="0.37499999999999994"/>
  </r>
  <r>
    <n v="71"/>
    <n v="13"/>
    <n v="2.8"/>
    <x v="39"/>
    <x v="60"/>
    <n v="2.5"/>
    <x v="0"/>
    <n v="1.6470588235294117"/>
  </r>
  <r>
    <n v="72"/>
    <n v="17"/>
    <n v="2.6"/>
    <x v="26"/>
    <x v="61"/>
    <n v="2.1"/>
    <x v="1"/>
    <n v="0.52"/>
  </r>
  <r>
    <n v="73"/>
    <n v="17"/>
    <n v="2.2999999999999998"/>
    <x v="40"/>
    <x v="62"/>
    <n v="2.2000000000000002"/>
    <x v="0"/>
    <n v="0.60526315789473684"/>
  </r>
  <r>
    <n v="74"/>
    <n v="14"/>
    <n v="2"/>
    <x v="26"/>
    <x v="63"/>
    <n v="2.6"/>
    <x v="1"/>
    <n v="0.4"/>
  </r>
  <r>
    <n v="75"/>
    <n v="17"/>
    <n v="1.9"/>
    <x v="17"/>
    <x v="64"/>
    <n v="2.6"/>
    <x v="1"/>
    <n v="0.36538461538461536"/>
  </r>
  <r>
    <n v="76"/>
    <n v="14"/>
    <n v="1.7"/>
    <x v="41"/>
    <x v="12"/>
    <n v="2.2999999999999998"/>
    <x v="1"/>
    <n v="0.40476190476190471"/>
  </r>
  <r>
    <n v="77"/>
    <n v="13"/>
    <n v="0.2"/>
    <x v="37"/>
    <x v="65"/>
    <n v="1.6"/>
    <x v="0"/>
    <n v="9.0909090909090912E-2"/>
  </r>
  <r>
    <n v="78"/>
    <n v="16"/>
    <n v="2.2000000000000002"/>
    <x v="2"/>
    <x v="66"/>
    <n v="1.2"/>
    <x v="1"/>
    <n v="0.51162790697674421"/>
  </r>
  <r>
    <n v="79"/>
    <n v="16"/>
    <n v="3.6"/>
    <x v="42"/>
    <x v="67"/>
    <n v="1.6"/>
    <x v="1"/>
    <n v="0.59016393442622961"/>
  </r>
  <r>
    <n v="80"/>
    <n v="16"/>
    <n v="2.2000000000000002"/>
    <x v="36"/>
    <x v="68"/>
    <n v="1.1000000000000001"/>
    <x v="0"/>
    <n v="0.66666666666666674"/>
  </r>
  <r>
    <n v="81"/>
    <n v="17"/>
    <n v="3.1"/>
    <x v="43"/>
    <x v="69"/>
    <n v="0"/>
    <x v="1"/>
    <n v="0.68888888888888888"/>
  </r>
  <r>
    <n v="82"/>
    <n v="13"/>
    <n v="1.4"/>
    <x v="1"/>
    <x v="33"/>
    <n v="1.3"/>
    <x v="0"/>
    <n v="0.35"/>
  </r>
  <r>
    <n v="83"/>
    <n v="17"/>
    <n v="1.2"/>
    <x v="42"/>
    <x v="70"/>
    <n v="1.8"/>
    <x v="1"/>
    <n v="0.19672131147540983"/>
  </r>
  <r>
    <n v="84"/>
    <n v="17"/>
    <n v="1.7"/>
    <x v="38"/>
    <x v="71"/>
    <n v="1"/>
    <x v="0"/>
    <n v="0.56666666666666665"/>
  </r>
  <r>
    <n v="85"/>
    <n v="13"/>
    <n v="1.5"/>
    <x v="29"/>
    <x v="72"/>
    <n v="1.3"/>
    <x v="1"/>
    <n v="0.26315789473684209"/>
  </r>
  <r>
    <n v="86"/>
    <n v="13"/>
    <n v="1.3"/>
    <x v="44"/>
    <x v="73"/>
    <n v="1.4"/>
    <x v="0"/>
    <n v="0.38235294117647062"/>
  </r>
  <r>
    <n v="87"/>
    <n v="13"/>
    <n v="2.9"/>
    <x v="38"/>
    <x v="74"/>
    <n v="2.6"/>
    <x v="0"/>
    <n v="0.96666666666666667"/>
  </r>
  <r>
    <n v="88"/>
    <n v="13"/>
    <n v="4.3"/>
    <x v="41"/>
    <x v="75"/>
    <n v="1.2"/>
    <x v="1"/>
    <n v="1.0238095238095237"/>
  </r>
  <r>
    <n v="89"/>
    <n v="16"/>
    <n v="1.8"/>
    <x v="43"/>
    <x v="76"/>
    <n v="2.6"/>
    <x v="1"/>
    <n v="0.4"/>
  </r>
  <r>
    <n v="90"/>
    <n v="15"/>
    <n v="0"/>
    <x v="45"/>
    <x v="25"/>
    <n v="0"/>
    <x v="1"/>
    <n v="0"/>
  </r>
  <r>
    <n v="91"/>
    <n v="15"/>
    <n v="3.2"/>
    <x v="43"/>
    <x v="63"/>
    <n v="2.6"/>
    <x v="1"/>
    <n v="0.71111111111111114"/>
  </r>
  <r>
    <n v="92"/>
    <n v="13"/>
    <n v="1.1000000000000001"/>
    <x v="2"/>
    <x v="77"/>
    <n v="2.5"/>
    <x v="1"/>
    <n v="0.2558139534883721"/>
  </r>
  <r>
    <n v="93"/>
    <n v="15"/>
    <n v="1.3"/>
    <x v="25"/>
    <x v="78"/>
    <n v="2.2000000000000002"/>
    <x v="1"/>
    <n v="0.203125"/>
  </r>
  <r>
    <n v="94"/>
    <n v="15"/>
    <n v="3"/>
    <x v="34"/>
    <x v="79"/>
    <n v="0"/>
    <x v="1"/>
    <n v="0.61224489795918358"/>
  </r>
  <r>
    <n v="95"/>
    <n v="13"/>
    <n v="2.2999999999999998"/>
    <x v="38"/>
    <x v="22"/>
    <n v="2.2999999999999998"/>
    <x v="0"/>
    <n v="0.76666666666666661"/>
  </r>
  <r>
    <n v="96"/>
    <n v="15"/>
    <n v="1.8"/>
    <x v="18"/>
    <x v="80"/>
    <n v="1.5"/>
    <x v="1"/>
    <n v="0.3"/>
  </r>
  <r>
    <n v="97"/>
    <n v="17"/>
    <n v="2.6"/>
    <x v="22"/>
    <x v="19"/>
    <n v="0"/>
    <x v="0"/>
    <n v="0.89655172413793105"/>
  </r>
  <r>
    <n v="98"/>
    <n v="14"/>
    <n v="2.1"/>
    <x v="38"/>
    <x v="81"/>
    <n v="2.5"/>
    <x v="0"/>
    <n v="0.70000000000000007"/>
  </r>
  <r>
    <n v="99"/>
    <n v="14"/>
    <n v="4.4000000000000004"/>
    <x v="0"/>
    <x v="82"/>
    <n v="2.7"/>
    <x v="0"/>
    <n v="1.6296296296296298"/>
  </r>
  <r>
    <n v="100"/>
    <n v="13"/>
    <n v="1.8"/>
    <x v="19"/>
    <x v="83"/>
    <n v="0"/>
    <x v="0"/>
    <n v="0.69230769230769229"/>
  </r>
  <r>
    <n v="101"/>
    <n v="16"/>
    <n v="1.6"/>
    <x v="43"/>
    <x v="56"/>
    <n v="1.6"/>
    <x v="1"/>
    <n v="0.35555555555555557"/>
  </r>
  <r>
    <n v="102"/>
    <n v="13"/>
    <n v="2"/>
    <x v="9"/>
    <x v="84"/>
    <n v="2.6"/>
    <x v="0"/>
    <n v="0.55555555555555558"/>
  </r>
  <r>
    <n v="103"/>
    <n v="16"/>
    <n v="2.1"/>
    <x v="11"/>
    <x v="30"/>
    <n v="2.5"/>
    <x v="0"/>
    <n v="0"/>
  </r>
  <r>
    <n v="104"/>
    <n v="14"/>
    <n v="0"/>
    <x v="9"/>
    <x v="85"/>
    <n v="2.2000000000000002"/>
    <x v="0"/>
    <n v="0"/>
  </r>
  <r>
    <n v="105"/>
    <n v="13"/>
    <n v="0.5"/>
    <x v="30"/>
    <x v="86"/>
    <n v="0"/>
    <x v="0"/>
    <n v="0.15625"/>
  </r>
  <r>
    <n v="106"/>
    <n v="17"/>
    <n v="2.9"/>
    <x v="28"/>
    <x v="87"/>
    <n v="2.1"/>
    <x v="1"/>
    <n v="0.54716981132075471"/>
  </r>
  <r>
    <n v="107"/>
    <n v="15"/>
    <n v="2"/>
    <x v="30"/>
    <x v="88"/>
    <n v="1.3"/>
    <x v="0"/>
    <n v="0.625"/>
  </r>
  <r>
    <n v="108"/>
    <n v="16"/>
    <n v="3.3"/>
    <x v="46"/>
    <x v="75"/>
    <n v="2.2999999999999998"/>
    <x v="1"/>
    <n v="0.42307692307692307"/>
  </r>
  <r>
    <n v="109"/>
    <n v="15"/>
    <n v="2.5"/>
    <x v="42"/>
    <x v="89"/>
    <n v="1.7"/>
    <x v="1"/>
    <n v="0.4098360655737705"/>
  </r>
  <r>
    <n v="110"/>
    <n v="15"/>
    <n v="3"/>
    <x v="44"/>
    <x v="90"/>
    <n v="1.5"/>
    <x v="0"/>
    <n v="0.88235294117647056"/>
  </r>
  <r>
    <n v="111"/>
    <n v="13"/>
    <n v="2.1"/>
    <x v="29"/>
    <x v="91"/>
    <n v="2"/>
    <x v="1"/>
    <n v="0.36842105263157893"/>
  </r>
  <r>
    <n v="112"/>
    <n v="15"/>
    <n v="2.9"/>
    <x v="11"/>
    <x v="92"/>
    <n v="1.4"/>
    <x v="0"/>
    <n v="0"/>
  </r>
  <r>
    <n v="113"/>
    <n v="17"/>
    <n v="4.2"/>
    <x v="5"/>
    <x v="93"/>
    <n v="1.5"/>
    <x v="1"/>
    <n v="0.95454545454545447"/>
  </r>
  <r>
    <n v="114"/>
    <n v="15"/>
    <n v="1.8"/>
    <x v="17"/>
    <x v="94"/>
    <n v="1.1000000000000001"/>
    <x v="1"/>
    <n v="0.34615384615384615"/>
  </r>
  <r>
    <n v="115"/>
    <n v="13"/>
    <n v="2.4"/>
    <x v="8"/>
    <x v="95"/>
    <n v="0.2"/>
    <x v="1"/>
    <n v="0.58536585365853666"/>
  </r>
  <r>
    <n v="116"/>
    <n v="17"/>
    <n v="2"/>
    <x v="5"/>
    <x v="86"/>
    <n v="2"/>
    <x v="1"/>
    <n v="0.45454545454545453"/>
  </r>
  <r>
    <n v="117"/>
    <n v="14"/>
    <n v="4.0999999999999996"/>
    <x v="17"/>
    <x v="96"/>
    <n v="0.9"/>
    <x v="1"/>
    <n v="0.78846153846153832"/>
  </r>
  <r>
    <n v="118"/>
    <n v="15"/>
    <n v="2.1"/>
    <x v="47"/>
    <x v="47"/>
    <n v="1.3"/>
    <x v="1"/>
    <n v="0.29577464788732399"/>
  </r>
  <r>
    <n v="119"/>
    <n v="13"/>
    <n v="1.8"/>
    <x v="5"/>
    <x v="59"/>
    <n v="1.7"/>
    <x v="1"/>
    <n v="0.40909090909090906"/>
  </r>
  <r>
    <n v="120"/>
    <n v="14"/>
    <n v="1.9"/>
    <x v="36"/>
    <x v="97"/>
    <n v="0"/>
    <x v="0"/>
    <n v="0.5757575757575758"/>
  </r>
  <r>
    <n v="121"/>
    <n v="14"/>
    <n v="2.4"/>
    <x v="48"/>
    <x v="7"/>
    <n v="0"/>
    <x v="0"/>
    <n v="2.4"/>
  </r>
  <r>
    <n v="122"/>
    <n v="16"/>
    <n v="1.7"/>
    <x v="45"/>
    <x v="48"/>
    <n v="1.3"/>
    <x v="1"/>
    <n v="0.24637681159420288"/>
  </r>
  <r>
    <n v="123"/>
    <n v="17"/>
    <n v="2.1"/>
    <x v="9"/>
    <x v="98"/>
    <n v="1.9"/>
    <x v="0"/>
    <n v="0.58333333333333337"/>
  </r>
  <r>
    <n v="124"/>
    <n v="15"/>
    <n v="2.7"/>
    <x v="27"/>
    <x v="99"/>
    <n v="2.1"/>
    <x v="1"/>
    <n v="0.56250000000000011"/>
  </r>
  <r>
    <n v="125"/>
    <n v="13"/>
    <n v="2.4"/>
    <x v="45"/>
    <x v="37"/>
    <n v="0.2"/>
    <x v="1"/>
    <n v="0.34782608695652173"/>
  </r>
  <r>
    <n v="126"/>
    <n v="16"/>
    <n v="3.3"/>
    <x v="2"/>
    <x v="100"/>
    <n v="2"/>
    <x v="1"/>
    <n v="0.76744186046511631"/>
  </r>
  <r>
    <n v="127"/>
    <n v="17"/>
    <n v="2.2000000000000002"/>
    <x v="35"/>
    <x v="1"/>
    <n v="1.3"/>
    <x v="0"/>
    <n v="0.59459459459459463"/>
  </r>
  <r>
    <n v="128"/>
    <n v="16"/>
    <n v="2.2999999999999998"/>
    <x v="42"/>
    <x v="101"/>
    <n v="0.8"/>
    <x v="1"/>
    <n v="0.37704918032786883"/>
  </r>
  <r>
    <n v="129"/>
    <n v="17"/>
    <n v="2.8"/>
    <x v="16"/>
    <x v="102"/>
    <n v="1"/>
    <x v="1"/>
    <n v="0.5957446808510638"/>
  </r>
  <r>
    <n v="130"/>
    <n v="17"/>
    <n v="4.7"/>
    <x v="34"/>
    <x v="103"/>
    <n v="2.1"/>
    <x v="1"/>
    <n v="0.95918367346938771"/>
  </r>
  <r>
    <n v="131"/>
    <n v="15"/>
    <n v="1.7"/>
    <x v="39"/>
    <x v="104"/>
    <n v="1.7"/>
    <x v="0"/>
    <n v="1"/>
  </r>
  <r>
    <n v="132"/>
    <n v="17"/>
    <n v="4.4000000000000004"/>
    <x v="10"/>
    <x v="105"/>
    <n v="1.5"/>
    <x v="1"/>
    <n v="0.75862068965517249"/>
  </r>
  <r>
    <n v="133"/>
    <n v="16"/>
    <n v="1.3"/>
    <x v="7"/>
    <x v="106"/>
    <n v="1.7"/>
    <x v="1"/>
    <n v="0.28260869565217395"/>
  </r>
  <r>
    <n v="134"/>
    <n v="17"/>
    <n v="2.7"/>
    <x v="31"/>
    <x v="107"/>
    <n v="2.2000000000000002"/>
    <x v="0"/>
    <n v="1.4210526315789476"/>
  </r>
  <r>
    <n v="135"/>
    <n v="15"/>
    <n v="0"/>
    <x v="16"/>
    <x v="32"/>
    <n v="1.4"/>
    <x v="1"/>
    <n v="0"/>
  </r>
  <r>
    <n v="136"/>
    <n v="15"/>
    <n v="1.7"/>
    <x v="49"/>
    <x v="20"/>
    <n v="1.5"/>
    <x v="0"/>
    <n v="1.8888888888888888"/>
  </r>
  <r>
    <n v="137"/>
    <n v="16"/>
    <n v="3.2"/>
    <x v="50"/>
    <x v="108"/>
    <n v="2.4"/>
    <x v="1"/>
    <n v="0.42666666666666669"/>
  </r>
  <r>
    <n v="138"/>
    <n v="14"/>
    <n v="3.1"/>
    <x v="51"/>
    <x v="34"/>
    <n v="1.2"/>
    <x v="0"/>
    <n v="1.347826086956522"/>
  </r>
  <r>
    <n v="139"/>
    <n v="14"/>
    <n v="2"/>
    <x v="25"/>
    <x v="109"/>
    <n v="2"/>
    <x v="1"/>
    <n v="0.3125"/>
  </r>
  <r>
    <n v="140"/>
    <n v="17"/>
    <n v="0.4"/>
    <x v="3"/>
    <x v="110"/>
    <n v="1.1000000000000001"/>
    <x v="0"/>
    <n v="0.14285714285714288"/>
  </r>
  <r>
    <n v="141"/>
    <n v="13"/>
    <n v="2.1"/>
    <x v="27"/>
    <x v="111"/>
    <n v="1.2"/>
    <x v="1"/>
    <n v="0.43750000000000006"/>
  </r>
  <r>
    <n v="142"/>
    <n v="17"/>
    <n v="2.6"/>
    <x v="19"/>
    <x v="112"/>
    <n v="1.4"/>
    <x v="0"/>
    <n v="1"/>
  </r>
  <r>
    <n v="143"/>
    <n v="16"/>
    <n v="2.5"/>
    <x v="52"/>
    <x v="113"/>
    <n v="1.9"/>
    <x v="1"/>
    <n v="0.45454545454545453"/>
  </r>
  <r>
    <n v="144"/>
    <n v="16"/>
    <n v="3.3"/>
    <x v="9"/>
    <x v="114"/>
    <n v="2.5"/>
    <x v="0"/>
    <n v="0.91666666666666663"/>
  </r>
  <r>
    <n v="145"/>
    <n v="16"/>
    <n v="4.4000000000000004"/>
    <x v="16"/>
    <x v="115"/>
    <n v="1.6"/>
    <x v="1"/>
    <n v="0.93617021276595747"/>
  </r>
  <r>
    <n v="146"/>
    <n v="16"/>
    <n v="2.9"/>
    <x v="1"/>
    <x v="116"/>
    <n v="0.3"/>
    <x v="0"/>
    <n v="0.72499999999999998"/>
  </r>
  <r>
    <n v="147"/>
    <n v="16"/>
    <n v="3.1"/>
    <x v="12"/>
    <x v="117"/>
    <n v="2"/>
    <x v="0"/>
    <n v="1.55"/>
  </r>
  <r>
    <n v="148"/>
    <n v="15"/>
    <n v="2.6"/>
    <x v="27"/>
    <x v="118"/>
    <n v="3.5"/>
    <x v="1"/>
    <n v="0.54166666666666674"/>
  </r>
  <r>
    <n v="149"/>
    <n v="14"/>
    <n v="3.7"/>
    <x v="30"/>
    <x v="119"/>
    <n v="1.6"/>
    <x v="0"/>
    <n v="1.15625"/>
  </r>
  <r>
    <n v="150"/>
    <n v="16"/>
    <n v="3"/>
    <x v="14"/>
    <x v="120"/>
    <n v="0.1"/>
    <x v="1"/>
    <n v="0.5357142857142857"/>
  </r>
  <r>
    <n v="151"/>
    <n v="13"/>
    <n v="3.2"/>
    <x v="9"/>
    <x v="121"/>
    <n v="1.6"/>
    <x v="0"/>
    <n v="0.88888888888888895"/>
  </r>
  <r>
    <n v="152"/>
    <n v="13"/>
    <n v="4.3"/>
    <x v="32"/>
    <x v="122"/>
    <n v="1.5"/>
    <x v="0"/>
    <n v="1.1025641025641026"/>
  </r>
  <r>
    <n v="153"/>
    <n v="13"/>
    <n v="2.7"/>
    <x v="53"/>
    <x v="123"/>
    <n v="1.4"/>
    <x v="1"/>
    <n v="0.41538461538461541"/>
  </r>
  <r>
    <n v="154"/>
    <n v="13"/>
    <n v="2.2000000000000002"/>
    <x v="54"/>
    <x v="124"/>
    <n v="2.2999999999999998"/>
    <x v="1"/>
    <n v="0.28947368421052633"/>
  </r>
  <r>
    <n v="155"/>
    <n v="15"/>
    <n v="2.9"/>
    <x v="17"/>
    <x v="125"/>
    <n v="2.6"/>
    <x v="1"/>
    <n v="0.55769230769230771"/>
  </r>
  <r>
    <n v="156"/>
    <n v="13"/>
    <n v="3.6"/>
    <x v="9"/>
    <x v="126"/>
    <n v="2"/>
    <x v="0"/>
    <n v="1"/>
  </r>
  <r>
    <n v="157"/>
    <n v="16"/>
    <n v="3"/>
    <x v="44"/>
    <x v="127"/>
    <n v="1.4"/>
    <x v="0"/>
    <n v="0.88235294117647056"/>
  </r>
  <r>
    <n v="158"/>
    <n v="17"/>
    <n v="3.6"/>
    <x v="3"/>
    <x v="128"/>
    <n v="2.4"/>
    <x v="0"/>
    <n v="1.2857142857142858"/>
  </r>
  <r>
    <n v="159"/>
    <n v="13"/>
    <n v="1.8"/>
    <x v="24"/>
    <x v="129"/>
    <n v="0.3"/>
    <x v="0"/>
    <n v="0.58064516129032262"/>
  </r>
  <r>
    <n v="160"/>
    <n v="15"/>
    <n v="1.6"/>
    <x v="9"/>
    <x v="130"/>
    <n v="0.9"/>
    <x v="0"/>
    <n v="0.44444444444444448"/>
  </r>
  <r>
    <n v="161"/>
    <n v="15"/>
    <n v="2"/>
    <x v="45"/>
    <x v="131"/>
    <n v="1"/>
    <x v="1"/>
    <n v="0.28985507246376813"/>
  </r>
  <r>
    <n v="162"/>
    <n v="13"/>
    <n v="1.2"/>
    <x v="35"/>
    <x v="132"/>
    <n v="1.5"/>
    <x v="0"/>
    <n v="0.32432432432432429"/>
  </r>
  <r>
    <n v="163"/>
    <n v="17"/>
    <n v="2.6"/>
    <x v="37"/>
    <x v="133"/>
    <n v="1.9"/>
    <x v="0"/>
    <n v="1.1818181818181817"/>
  </r>
  <r>
    <n v="164"/>
    <n v="13"/>
    <n v="2.1"/>
    <x v="8"/>
    <x v="134"/>
    <n v="1.3"/>
    <x v="1"/>
    <n v="0.51219512195121952"/>
  </r>
  <r>
    <n v="165"/>
    <n v="15"/>
    <n v="3.7"/>
    <x v="2"/>
    <x v="135"/>
    <n v="0.8"/>
    <x v="1"/>
    <n v="0.86046511627906985"/>
  </r>
  <r>
    <n v="166"/>
    <n v="14"/>
    <n v="1.2"/>
    <x v="8"/>
    <x v="136"/>
    <n v="2.2999999999999998"/>
    <x v="1"/>
    <n v="0.29268292682926833"/>
  </r>
  <r>
    <n v="167"/>
    <n v="16"/>
    <n v="4.0999999999999996"/>
    <x v="17"/>
    <x v="137"/>
    <n v="1.3"/>
    <x v="1"/>
    <n v="0.78846153846153832"/>
  </r>
  <r>
    <n v="168"/>
    <n v="15"/>
    <n v="1.5"/>
    <x v="8"/>
    <x v="138"/>
    <n v="1.6"/>
    <x v="1"/>
    <n v="0.36585365853658541"/>
  </r>
  <r>
    <n v="169"/>
    <n v="13"/>
    <n v="1.3"/>
    <x v="17"/>
    <x v="139"/>
    <n v="1.9"/>
    <x v="1"/>
    <n v="0.25"/>
  </r>
  <r>
    <n v="170"/>
    <n v="16"/>
    <n v="1.7"/>
    <x v="3"/>
    <x v="140"/>
    <n v="1.5"/>
    <x v="0"/>
    <n v="0.60714285714285721"/>
  </r>
  <r>
    <n v="171"/>
    <n v="13"/>
    <n v="4.5"/>
    <x v="11"/>
    <x v="141"/>
    <n v="1.5"/>
    <x v="0"/>
    <n v="0"/>
  </r>
  <r>
    <n v="172"/>
    <n v="13"/>
    <n v="2.5"/>
    <x v="5"/>
    <x v="5"/>
    <n v="2.2999999999999998"/>
    <x v="1"/>
    <n v="0.56818181818181812"/>
  </r>
  <r>
    <n v="173"/>
    <n v="14"/>
    <n v="3"/>
    <x v="7"/>
    <x v="34"/>
    <n v="1.6"/>
    <x v="1"/>
    <n v="0.65217391304347827"/>
  </r>
  <r>
    <n v="174"/>
    <n v="16"/>
    <n v="2.2999999999999998"/>
    <x v="3"/>
    <x v="142"/>
    <n v="2.2000000000000002"/>
    <x v="0"/>
    <n v="0.8214285714285714"/>
  </r>
  <r>
    <n v="175"/>
    <n v="16"/>
    <n v="2.4"/>
    <x v="16"/>
    <x v="18"/>
    <n v="1.9"/>
    <x v="1"/>
    <n v="0.51063829787234039"/>
  </r>
  <r>
    <n v="176"/>
    <n v="14"/>
    <n v="2"/>
    <x v="26"/>
    <x v="143"/>
    <n v="3.1"/>
    <x v="1"/>
    <n v="0.4"/>
  </r>
  <r>
    <n v="177"/>
    <n v="15"/>
    <n v="2.6"/>
    <x v="37"/>
    <x v="144"/>
    <n v="1.8"/>
    <x v="0"/>
    <n v="1.1818181818181817"/>
  </r>
  <r>
    <n v="178"/>
    <n v="13"/>
    <n v="3"/>
    <x v="55"/>
    <x v="95"/>
    <n v="2"/>
    <x v="0"/>
    <n v="2"/>
  </r>
  <r>
    <n v="179"/>
    <n v="17"/>
    <n v="4.2"/>
    <x v="5"/>
    <x v="20"/>
    <n v="2.4"/>
    <x v="1"/>
    <n v="0.95454545454545447"/>
  </r>
  <r>
    <n v="180"/>
    <n v="13"/>
    <n v="0.6"/>
    <x v="36"/>
    <x v="135"/>
    <n v="1.6"/>
    <x v="0"/>
    <n v="0.18181818181818182"/>
  </r>
  <r>
    <n v="181"/>
    <n v="13"/>
    <n v="4.0999999999999996"/>
    <x v="5"/>
    <x v="145"/>
    <n v="1"/>
    <x v="1"/>
    <n v="0.93181818181818166"/>
  </r>
  <r>
    <n v="182"/>
    <n v="15"/>
    <n v="3"/>
    <x v="56"/>
    <x v="146"/>
    <n v="1.1000000000000001"/>
    <x v="0"/>
    <n v="1.4285714285714286"/>
  </r>
  <r>
    <n v="183"/>
    <n v="13"/>
    <n v="2.1"/>
    <x v="39"/>
    <x v="147"/>
    <n v="1.1000000000000001"/>
    <x v="0"/>
    <n v="1.2352941176470589"/>
  </r>
  <r>
    <n v="184"/>
    <n v="14"/>
    <n v="2"/>
    <x v="2"/>
    <x v="104"/>
    <n v="0.7"/>
    <x v="1"/>
    <n v="0.46511627906976744"/>
  </r>
  <r>
    <n v="185"/>
    <n v="14"/>
    <n v="3.5"/>
    <x v="15"/>
    <x v="52"/>
    <n v="1.8"/>
    <x v="0"/>
    <n v="1"/>
  </r>
  <r>
    <n v="186"/>
    <n v="16"/>
    <n v="2.7"/>
    <x v="11"/>
    <x v="148"/>
    <n v="1"/>
    <x v="0"/>
    <n v="0"/>
  </r>
  <r>
    <n v="187"/>
    <n v="17"/>
    <n v="1"/>
    <x v="18"/>
    <x v="149"/>
    <n v="1.7"/>
    <x v="1"/>
    <n v="0.16666666666666666"/>
  </r>
  <r>
    <n v="188"/>
    <n v="13"/>
    <n v="2.9"/>
    <x v="12"/>
    <x v="150"/>
    <n v="1.4"/>
    <x v="0"/>
    <n v="1.45"/>
  </r>
  <r>
    <n v="189"/>
    <n v="13"/>
    <n v="3.6"/>
    <x v="57"/>
    <x v="147"/>
    <n v="1.5"/>
    <x v="1"/>
    <n v="0.45569620253164556"/>
  </r>
  <r>
    <n v="190"/>
    <n v="15"/>
    <n v="3.4"/>
    <x v="24"/>
    <x v="151"/>
    <n v="1.9"/>
    <x v="0"/>
    <n v="1.096774193548387"/>
  </r>
  <r>
    <n v="191"/>
    <n v="14"/>
    <n v="1.9"/>
    <x v="7"/>
    <x v="152"/>
    <n v="1.1000000000000001"/>
    <x v="1"/>
    <n v="0.41304347826086957"/>
  </r>
  <r>
    <n v="192"/>
    <n v="17"/>
    <n v="1.2"/>
    <x v="53"/>
    <x v="153"/>
    <n v="2"/>
    <x v="1"/>
    <n v="0.1846153846153846"/>
  </r>
  <r>
    <n v="193"/>
    <n v="16"/>
    <n v="2.2000000000000002"/>
    <x v="58"/>
    <x v="116"/>
    <n v="2.8"/>
    <x v="1"/>
    <n v="0.35483870967741937"/>
  </r>
  <r>
    <n v="194"/>
    <n v="14"/>
    <n v="5.8"/>
    <x v="59"/>
    <x v="154"/>
    <n v="1.8"/>
    <x v="1"/>
    <n v="0.82857142857142851"/>
  </r>
  <r>
    <n v="195"/>
    <n v="16"/>
    <n v="1"/>
    <x v="39"/>
    <x v="155"/>
    <n v="0.9"/>
    <x v="0"/>
    <n v="0.58823529411764708"/>
  </r>
  <r>
    <n v="196"/>
    <n v="15"/>
    <n v="1.7"/>
    <x v="51"/>
    <x v="156"/>
    <n v="1"/>
    <x v="0"/>
    <n v="0.73913043478260876"/>
  </r>
  <r>
    <n v="197"/>
    <n v="15"/>
    <n v="2.9"/>
    <x v="2"/>
    <x v="86"/>
    <n v="1.3"/>
    <x v="1"/>
    <n v="0.67441860465116277"/>
  </r>
  <r>
    <n v="198"/>
    <n v="13"/>
    <n v="2.4"/>
    <x v="28"/>
    <x v="157"/>
    <n v="1"/>
    <x v="1"/>
    <n v="0.45283018867924529"/>
  </r>
  <r>
    <n v="199"/>
    <n v="17"/>
    <n v="2.2999999999999998"/>
    <x v="1"/>
    <x v="158"/>
    <n v="0.7"/>
    <x v="0"/>
    <n v="0.57499999999999996"/>
  </r>
  <r>
    <n v="200"/>
    <n v="16"/>
    <n v="4.5"/>
    <x v="55"/>
    <x v="148"/>
    <n v="1.6"/>
    <x v="0"/>
    <n v="3"/>
  </r>
  <r>
    <n v="132"/>
    <n v="17"/>
    <n v="4.4000000000000004"/>
    <x v="10"/>
    <x v="105"/>
    <n v="1.5"/>
    <x v="1"/>
    <n v="0.75862068965517249"/>
  </r>
  <r>
    <n v="46"/>
    <n v="13"/>
    <n v="1.8"/>
    <x v="34"/>
    <x v="38"/>
    <n v="1.6"/>
    <x v="1"/>
    <n v="0.36734693877551017"/>
  </r>
  <r>
    <n v="129"/>
    <n v="17"/>
    <n v="2.8"/>
    <x v="16"/>
    <x v="102"/>
    <n v="1"/>
    <x v="1"/>
    <n v="0.5957446808510638"/>
  </r>
  <r>
    <n v="24"/>
    <n v="13"/>
    <n v="3.2"/>
    <x v="19"/>
    <x v="22"/>
    <n v="0"/>
    <x v="0"/>
    <n v="1.2307692307692308"/>
  </r>
  <r>
    <n v="39"/>
    <n v="13"/>
    <n v="2.4"/>
    <x v="30"/>
    <x v="35"/>
    <n v="1.8"/>
    <x v="0"/>
    <n v="0.749999999999999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n v="1"/>
    <x v="0"/>
    <n v="2.5"/>
    <n v="2.7"/>
    <n v="75"/>
    <n v="1.6"/>
    <s v="Normal"/>
    <n v="0.92592592592592582"/>
  </r>
  <r>
    <n v="2"/>
    <x v="1"/>
    <n v="2.7"/>
    <n v="4"/>
    <n v="68.099999999999994"/>
    <n v="0.7"/>
    <s v="Normal"/>
    <n v="0.67500000000000004"/>
  </r>
  <r>
    <n v="3"/>
    <x v="2"/>
    <n v="3"/>
    <n v="4.3"/>
    <n v="67.900000000000006"/>
    <n v="1.5"/>
    <s v="High"/>
    <n v="0.69767441860465118"/>
  </r>
  <r>
    <n v="4"/>
    <x v="1"/>
    <n v="3"/>
    <n v="2.8"/>
    <n v="47.2"/>
    <n v="1.8"/>
    <s v="Normal"/>
    <n v="1.0714285714285714"/>
  </r>
  <r>
    <n v="5"/>
    <x v="1"/>
    <n v="0"/>
    <n v="1.8"/>
    <n v="78"/>
    <n v="1.4"/>
    <s v="Normal"/>
    <n v="0"/>
  </r>
  <r>
    <n v="6"/>
    <x v="3"/>
    <n v="1.3"/>
    <n v="4.4000000000000004"/>
    <n v="71.5"/>
    <n v="0.4"/>
    <s v="High"/>
    <n v="0.29545454545454541"/>
  </r>
  <r>
    <n v="7"/>
    <x v="2"/>
    <n v="3.3"/>
    <n v="6.7"/>
    <n v="88"/>
    <n v="2.9"/>
    <s v="High"/>
    <n v="0.4925373134328358"/>
  </r>
  <r>
    <n v="8"/>
    <x v="2"/>
    <n v="2.9"/>
    <n v="4.5999999999999996"/>
    <n v="69.3"/>
    <n v="1.6"/>
    <s v="High"/>
    <n v="0.63043478260869568"/>
  </r>
  <r>
    <n v="9"/>
    <x v="2"/>
    <n v="1.4"/>
    <n v="4.0999999999999996"/>
    <n v="75.7"/>
    <n v="0.9"/>
    <s v="High"/>
    <n v="0.34146341463414637"/>
  </r>
  <r>
    <n v="10"/>
    <x v="1"/>
    <n v="1.8"/>
    <n v="4.0999999999999996"/>
    <n v="78.3"/>
    <n v="2.8"/>
    <s v="High"/>
    <n v="0.4390243902439025"/>
  </r>
  <r>
    <n v="11"/>
    <x v="0"/>
    <n v="3.4"/>
    <n v="3.6"/>
    <n v="52.5"/>
    <n v="2"/>
    <s v="Normal"/>
    <n v="0.94444444444444442"/>
  </r>
  <r>
    <n v="12"/>
    <x v="2"/>
    <n v="3.1"/>
    <n v="5.8"/>
    <n v="96.2"/>
    <n v="0.5"/>
    <s v="High"/>
    <n v="0.53448275862068972"/>
  </r>
  <r>
    <n v="13"/>
    <x v="1"/>
    <n v="1.8"/>
    <n v="0"/>
    <n v="65.7"/>
    <n v="0.7"/>
    <s v="Normal"/>
    <n v="0"/>
  </r>
  <r>
    <n v="14"/>
    <x v="3"/>
    <n v="2.2000000000000002"/>
    <n v="2"/>
    <n v="74.900000000000006"/>
    <n v="1.3"/>
    <s v="Normal"/>
    <n v="1.1000000000000001"/>
  </r>
  <r>
    <n v="15"/>
    <x v="0"/>
    <n v="2.4"/>
    <n v="1.6"/>
    <n v="76.400000000000006"/>
    <n v="1.7"/>
    <s v="Normal"/>
    <n v="1.4999999999999998"/>
  </r>
  <r>
    <n v="16"/>
    <x v="3"/>
    <n v="3.1"/>
    <n v="4.0999999999999996"/>
    <n v="61.9"/>
    <n v="2"/>
    <s v="High"/>
    <n v="0.75609756097560987"/>
  </r>
  <r>
    <n v="17"/>
    <x v="0"/>
    <n v="3.7"/>
    <n v="5.6"/>
    <n v="88.5"/>
    <n v="2.2999999999999998"/>
    <s v="High"/>
    <n v="0.66071428571428581"/>
  </r>
  <r>
    <n v="18"/>
    <x v="1"/>
    <n v="2.6"/>
    <n v="4.4000000000000004"/>
    <n v="72.7"/>
    <n v="1.9"/>
    <s v="High"/>
    <n v="0.59090909090909083"/>
  </r>
  <r>
    <n v="19"/>
    <x v="4"/>
    <n v="0"/>
    <n v="3.5"/>
    <n v="67.900000000000006"/>
    <n v="2.6"/>
    <s v="Normal"/>
    <n v="0"/>
  </r>
  <r>
    <n v="20"/>
    <x v="0"/>
    <n v="3.4"/>
    <n v="4.7"/>
    <n v="71.400000000000006"/>
    <n v="1.6"/>
    <s v="High"/>
    <n v="0.72340425531914887"/>
  </r>
  <r>
    <n v="21"/>
    <x v="3"/>
    <n v="2.7"/>
    <n v="4.3"/>
    <n v="77.599999999999994"/>
    <n v="0.9"/>
    <s v="High"/>
    <n v="0.62790697674418616"/>
  </r>
  <r>
    <n v="22"/>
    <x v="1"/>
    <n v="1.1000000000000001"/>
    <n v="5.2"/>
    <n v="70.099999999999994"/>
    <n v="1.5"/>
    <s v="High"/>
    <n v="0.21153846153846154"/>
  </r>
  <r>
    <n v="23"/>
    <x v="0"/>
    <n v="1.5"/>
    <n v="6"/>
    <n v="78.8"/>
    <n v="1.4"/>
    <s v="High"/>
    <n v="0.25"/>
  </r>
  <r>
    <n v="24"/>
    <x v="4"/>
    <n v="3.2"/>
    <n v="2.6"/>
    <n v="53.2"/>
    <n v="0"/>
    <s v="Normal"/>
    <n v="1.2307692307692308"/>
  </r>
  <r>
    <n v="25"/>
    <x v="4"/>
    <n v="0.8"/>
    <n v="0.5"/>
    <n v="62.5"/>
    <n v="1.1000000000000001"/>
    <s v="Normal"/>
    <n v="1.6"/>
  </r>
  <r>
    <n v="26"/>
    <x v="2"/>
    <n v="2.6"/>
    <n v="3.5"/>
    <n v="48.6"/>
    <n v="1.8"/>
    <s v="Normal"/>
    <n v="0.74285714285714288"/>
  </r>
  <r>
    <n v="27"/>
    <x v="2"/>
    <n v="3.5"/>
    <n v="2.5"/>
    <n v="90"/>
    <n v="1.2"/>
    <s v="Normal"/>
    <n v="1.4"/>
  </r>
  <r>
    <n v="28"/>
    <x v="3"/>
    <n v="2.7"/>
    <n v="5.2"/>
    <n v="89.8"/>
    <n v="1"/>
    <s v="High"/>
    <n v="0.51923076923076927"/>
  </r>
  <r>
    <n v="29"/>
    <x v="0"/>
    <n v="1.9"/>
    <n v="2.9"/>
    <n v="76.3"/>
    <n v="2.2000000000000002"/>
    <s v="Normal"/>
    <n v="0.65517241379310343"/>
  </r>
  <r>
    <n v="30"/>
    <x v="0"/>
    <n v="1.7"/>
    <n v="1.2"/>
    <n v="59.9"/>
    <n v="0.8"/>
    <s v="Normal"/>
    <n v="1.4166666666666667"/>
  </r>
  <r>
    <n v="31"/>
    <x v="2"/>
    <n v="3.3"/>
    <n v="3.1"/>
    <n v="93.9"/>
    <n v="2.1"/>
    <s v="Normal"/>
    <n v="1.064516129032258"/>
  </r>
  <r>
    <n v="32"/>
    <x v="0"/>
    <n v="3"/>
    <n v="1.8"/>
    <n v="64"/>
    <n v="0.4"/>
    <s v="Normal"/>
    <n v="1.6666666666666665"/>
  </r>
  <r>
    <n v="33"/>
    <x v="0"/>
    <n v="2.2000000000000002"/>
    <n v="6.4"/>
    <n v="67.900000000000006"/>
    <n v="3.7"/>
    <s v="High"/>
    <n v="0.34375"/>
  </r>
  <r>
    <n v="34"/>
    <x v="4"/>
    <n v="3.6"/>
    <n v="4.7"/>
    <n v="71.599999999999994"/>
    <n v="1.3"/>
    <s v="High"/>
    <n v="0.76595744680851063"/>
  </r>
  <r>
    <n v="35"/>
    <x v="2"/>
    <n v="3.4"/>
    <n v="5"/>
    <n v="74.5"/>
    <n v="1.2"/>
    <s v="High"/>
    <n v="0.67999999999999994"/>
  </r>
  <r>
    <n v="36"/>
    <x v="1"/>
    <n v="4.3"/>
    <n v="4.8"/>
    <n v="76.400000000000006"/>
    <n v="2.4"/>
    <s v="High"/>
    <n v="0.89583333333333337"/>
  </r>
  <r>
    <n v="37"/>
    <x v="2"/>
    <n v="3.1"/>
    <n v="5.3"/>
    <n v="76.8"/>
    <n v="1.2"/>
    <s v="High"/>
    <n v="0.58490566037735847"/>
  </r>
  <r>
    <n v="38"/>
    <x v="1"/>
    <n v="2.2999999999999998"/>
    <n v="5.7"/>
    <n v="0"/>
    <n v="2.7"/>
    <s v="High"/>
    <n v="0.40350877192982454"/>
  </r>
  <r>
    <n v="39"/>
    <x v="4"/>
    <n v="2.4"/>
    <n v="3.2"/>
    <n v="76.7"/>
    <n v="1.8"/>
    <s v="Normal"/>
    <n v="0.74999999999999989"/>
  </r>
  <r>
    <n v="40"/>
    <x v="3"/>
    <n v="0.6"/>
    <n v="1.9"/>
    <n v="0"/>
    <n v="1.4"/>
    <s v="Normal"/>
    <n v="0.31578947368421051"/>
  </r>
  <r>
    <n v="41"/>
    <x v="0"/>
    <n v="2.7"/>
    <n v="2.7"/>
    <n v="75.8"/>
    <n v="1.3"/>
    <s v="Normal"/>
    <n v="1"/>
  </r>
  <r>
    <n v="42"/>
    <x v="4"/>
    <n v="0"/>
    <n v="3.9"/>
    <n v="75"/>
    <n v="2.5"/>
    <s v="Normal"/>
    <n v="0"/>
  </r>
  <r>
    <n v="43"/>
    <x v="0"/>
    <n v="1.2"/>
    <n v="0.2"/>
    <n v="77.599999999999994"/>
    <n v="1.7"/>
    <s v="Normal"/>
    <n v="5.9999999999999991"/>
  </r>
  <r>
    <n v="44"/>
    <x v="3"/>
    <n v="2.5"/>
    <n v="5.7"/>
    <n v="76.400000000000006"/>
    <n v="1.8"/>
    <s v="High"/>
    <n v="0.43859649122807015"/>
  </r>
  <r>
    <n v="45"/>
    <x v="3"/>
    <n v="3.8"/>
    <n v="1.2"/>
    <n v="65.599999999999994"/>
    <n v="1.9"/>
    <s v="Normal"/>
    <n v="3.1666666666666665"/>
  </r>
  <r>
    <n v="46"/>
    <x v="4"/>
    <n v="1.8"/>
    <n v="4.9000000000000004"/>
    <n v="74.599999999999994"/>
    <n v="1.6"/>
    <s v="High"/>
    <n v="0.36734693877551017"/>
  </r>
  <r>
    <n v="47"/>
    <x v="3"/>
    <n v="1.5"/>
    <n v="3.7"/>
    <n v="76.5"/>
    <n v="1.9"/>
    <s v="Normal"/>
    <n v="0.40540540540540537"/>
  </r>
  <r>
    <n v="48"/>
    <x v="1"/>
    <n v="3.6"/>
    <n v="4.4000000000000004"/>
    <n v="57.1"/>
    <n v="1.4"/>
    <s v="High"/>
    <n v="0.81818181818181812"/>
  </r>
  <r>
    <n v="49"/>
    <x v="3"/>
    <n v="3.1"/>
    <n v="3.3"/>
    <n v="67.3"/>
    <n v="1.5"/>
    <s v="Normal"/>
    <n v="0.93939393939393945"/>
  </r>
  <r>
    <n v="50"/>
    <x v="0"/>
    <n v="5.6"/>
    <n v="4.3"/>
    <n v="76.099999999999994"/>
    <n v="0.6"/>
    <s v="High"/>
    <n v="1.3023255813953487"/>
  </r>
  <r>
    <n v="51"/>
    <x v="0"/>
    <n v="1.2"/>
    <n v="3.3"/>
    <n v="87.1"/>
    <n v="1.7"/>
    <s v="Normal"/>
    <n v="0.36363636363636365"/>
  </r>
  <r>
    <n v="52"/>
    <x v="0"/>
    <n v="3.2"/>
    <n v="3.2"/>
    <n v="78.2"/>
    <n v="0.1"/>
    <s v="Normal"/>
    <n v="1"/>
  </r>
  <r>
    <n v="53"/>
    <x v="0"/>
    <n v="2.8"/>
    <n v="2.7"/>
    <n v="87.7"/>
    <n v="1.7"/>
    <s v="Normal"/>
    <n v="1.037037037037037"/>
  </r>
  <r>
    <n v="54"/>
    <x v="1"/>
    <n v="2.6"/>
    <n v="0"/>
    <n v="66"/>
    <n v="1.3"/>
    <s v="Normal"/>
    <n v="0"/>
  </r>
  <r>
    <n v="55"/>
    <x v="2"/>
    <n v="3.4"/>
    <n v="4.5999999999999996"/>
    <n v="72.5"/>
    <n v="1.8"/>
    <s v="High"/>
    <n v="0.73913043478260876"/>
  </r>
  <r>
    <n v="56"/>
    <x v="4"/>
    <n v="2.5"/>
    <n v="4.3"/>
    <n v="78.099999999999994"/>
    <n v="0.7"/>
    <s v="High"/>
    <n v="0.58139534883720934"/>
  </r>
  <r>
    <n v="57"/>
    <x v="0"/>
    <n v="0.6"/>
    <n v="2.7"/>
    <n v="46.7"/>
    <n v="0"/>
    <s v="Normal"/>
    <n v="0.22222222222222221"/>
  </r>
  <r>
    <n v="58"/>
    <x v="3"/>
    <n v="1.7"/>
    <n v="3.6"/>
    <n v="0"/>
    <n v="1.2"/>
    <s v="Normal"/>
    <n v="0.47222222222222221"/>
  </r>
  <r>
    <n v="59"/>
    <x v="0"/>
    <n v="3.9"/>
    <n v="2.5"/>
    <n v="51.4"/>
    <n v="0.7"/>
    <s v="Normal"/>
    <n v="1.56"/>
  </r>
  <r>
    <n v="60"/>
    <x v="3"/>
    <n v="3.7"/>
    <n v="3.3"/>
    <n v="80"/>
    <n v="0.1"/>
    <s v="Normal"/>
    <n v="1.1212121212121213"/>
  </r>
  <r>
    <n v="61"/>
    <x v="3"/>
    <n v="2.1"/>
    <n v="2.2000000000000002"/>
    <n v="76.900000000000006"/>
    <n v="2.1"/>
    <s v="Normal"/>
    <n v="0.95454545454545447"/>
  </r>
  <r>
    <n v="62"/>
    <x v="0"/>
    <n v="3"/>
    <n v="6.4"/>
    <n v="46.6"/>
    <n v="2.8"/>
    <s v="High"/>
    <n v="0.46875"/>
  </r>
  <r>
    <n v="63"/>
    <x v="1"/>
    <n v="5.3"/>
    <n v="0"/>
    <n v="47.1"/>
    <n v="0.9"/>
    <s v="Normal"/>
    <n v="0"/>
  </r>
  <r>
    <n v="64"/>
    <x v="3"/>
    <n v="2.5"/>
    <n v="2.7"/>
    <n v="0"/>
    <n v="1.4"/>
    <s v="Normal"/>
    <n v="0.92592592592592582"/>
  </r>
  <r>
    <n v="65"/>
    <x v="3"/>
    <n v="2.5"/>
    <n v="2"/>
    <n v="82.1"/>
    <n v="1.3"/>
    <s v="Normal"/>
    <n v="1.25"/>
  </r>
  <r>
    <n v="66"/>
    <x v="0"/>
    <n v="2.7"/>
    <n v="2.8"/>
    <n v="61.2"/>
    <n v="1"/>
    <s v="Normal"/>
    <n v="0.96428571428571441"/>
  </r>
  <r>
    <n v="67"/>
    <x v="3"/>
    <n v="3.1"/>
    <n v="3.3"/>
    <n v="61.2"/>
    <n v="2"/>
    <s v="Normal"/>
    <n v="0.93939393939393945"/>
  </r>
  <r>
    <n v="68"/>
    <x v="3"/>
    <n v="2.2000000000000002"/>
    <n v="3.9"/>
    <n v="75.099999999999994"/>
    <n v="2.2999999999999998"/>
    <s v="Normal"/>
    <n v="0.56410256410256421"/>
  </r>
  <r>
    <n v="69"/>
    <x v="0"/>
    <n v="3.1"/>
    <n v="3"/>
    <n v="69.900000000000006"/>
    <n v="0.8"/>
    <s v="Normal"/>
    <n v="1.0333333333333334"/>
  </r>
  <r>
    <n v="70"/>
    <x v="0"/>
    <n v="0.6"/>
    <n v="1.6"/>
    <n v="80.5"/>
    <n v="1.5"/>
    <s v="Normal"/>
    <n v="0.37499999999999994"/>
  </r>
  <r>
    <n v="71"/>
    <x v="4"/>
    <n v="2.8"/>
    <n v="1.7"/>
    <n v="74.8"/>
    <n v="2.5"/>
    <s v="Normal"/>
    <n v="1.6470588235294117"/>
  </r>
  <r>
    <n v="72"/>
    <x v="1"/>
    <n v="2.6"/>
    <n v="5"/>
    <n v="85.8"/>
    <n v="2.1"/>
    <s v="High"/>
    <n v="0.52"/>
  </r>
  <r>
    <n v="73"/>
    <x v="1"/>
    <n v="2.2999999999999998"/>
    <n v="3.8"/>
    <n v="79.7"/>
    <n v="2.2000000000000002"/>
    <s v="Normal"/>
    <n v="0.60526315789473684"/>
  </r>
  <r>
    <n v="74"/>
    <x v="3"/>
    <n v="2"/>
    <n v="5"/>
    <n v="77.2"/>
    <n v="2.6"/>
    <s v="High"/>
    <n v="0.4"/>
  </r>
  <r>
    <n v="75"/>
    <x v="1"/>
    <n v="1.9"/>
    <n v="5.2"/>
    <n v="66.5"/>
    <n v="2.6"/>
    <s v="High"/>
    <n v="0.36538461538461536"/>
  </r>
  <r>
    <n v="76"/>
    <x v="3"/>
    <n v="1.7"/>
    <n v="4.2"/>
    <n v="65.7"/>
    <n v="2.2999999999999998"/>
    <s v="High"/>
    <n v="0.40476190476190471"/>
  </r>
  <r>
    <n v="77"/>
    <x v="4"/>
    <n v="0.2"/>
    <n v="2.2000000000000002"/>
    <n v="69.5"/>
    <n v="1.6"/>
    <s v="Normal"/>
    <n v="9.0909090909090912E-2"/>
  </r>
  <r>
    <n v="78"/>
    <x v="0"/>
    <n v="2.2000000000000002"/>
    <n v="4.3"/>
    <n v="88.4"/>
    <n v="1.2"/>
    <s v="High"/>
    <n v="0.51162790697674421"/>
  </r>
  <r>
    <n v="79"/>
    <x v="0"/>
    <n v="3.6"/>
    <n v="6.1"/>
    <n v="65.900000000000006"/>
    <n v="1.6"/>
    <s v="High"/>
    <n v="0.59016393442622961"/>
  </r>
  <r>
    <n v="80"/>
    <x v="0"/>
    <n v="2.2000000000000002"/>
    <n v="3.3"/>
    <n v="72.599999999999994"/>
    <n v="1.1000000000000001"/>
    <s v="Normal"/>
    <n v="0.66666666666666674"/>
  </r>
  <r>
    <n v="81"/>
    <x v="1"/>
    <n v="3.1"/>
    <n v="4.5"/>
    <n v="47.6"/>
    <n v="0"/>
    <s v="High"/>
    <n v="0.68888888888888888"/>
  </r>
  <r>
    <n v="82"/>
    <x v="4"/>
    <n v="1.4"/>
    <n v="4"/>
    <n v="76.8"/>
    <n v="1.3"/>
    <s v="Normal"/>
    <n v="0.35"/>
  </r>
  <r>
    <n v="83"/>
    <x v="1"/>
    <n v="1.2"/>
    <n v="6.1"/>
    <n v="92.6"/>
    <n v="1.8"/>
    <s v="High"/>
    <n v="0.19672131147540983"/>
  </r>
  <r>
    <n v="84"/>
    <x v="1"/>
    <n v="1.7"/>
    <n v="3"/>
    <n v="60.7"/>
    <n v="1"/>
    <s v="Normal"/>
    <n v="0.56666666666666665"/>
  </r>
  <r>
    <n v="85"/>
    <x v="4"/>
    <n v="1.5"/>
    <n v="5.7"/>
    <n v="100"/>
    <n v="1.3"/>
    <s v="High"/>
    <n v="0.26315789473684209"/>
  </r>
  <r>
    <n v="86"/>
    <x v="4"/>
    <n v="1.3"/>
    <n v="3.4"/>
    <n v="71.8"/>
    <n v="1.4"/>
    <s v="Normal"/>
    <n v="0.38235294117647062"/>
  </r>
  <r>
    <n v="87"/>
    <x v="4"/>
    <n v="2.9"/>
    <n v="3"/>
    <n v="44.3"/>
    <n v="2.6"/>
    <s v="Normal"/>
    <n v="0.96666666666666667"/>
  </r>
  <r>
    <n v="88"/>
    <x v="4"/>
    <n v="4.3"/>
    <n v="4.2"/>
    <n v="66.099999999999994"/>
    <n v="1.2"/>
    <s v="High"/>
    <n v="1.0238095238095237"/>
  </r>
  <r>
    <n v="89"/>
    <x v="0"/>
    <n v="1.8"/>
    <n v="4.5"/>
    <n v="83.3"/>
    <n v="2.6"/>
    <s v="High"/>
    <n v="0.4"/>
  </r>
  <r>
    <n v="90"/>
    <x v="2"/>
    <n v="0"/>
    <n v="6.9"/>
    <n v="90"/>
    <n v="0"/>
    <s v="High"/>
    <n v="0"/>
  </r>
  <r>
    <n v="91"/>
    <x v="2"/>
    <n v="3.2"/>
    <n v="4.5"/>
    <n v="77.2"/>
    <n v="2.6"/>
    <s v="High"/>
    <n v="0.71111111111111114"/>
  </r>
  <r>
    <n v="92"/>
    <x v="4"/>
    <n v="1.1000000000000001"/>
    <n v="4.3"/>
    <n v="85.7"/>
    <n v="2.5"/>
    <s v="High"/>
    <n v="0.2558139534883721"/>
  </r>
  <r>
    <n v="93"/>
    <x v="2"/>
    <n v="1.3"/>
    <n v="6.4"/>
    <n v="58.2"/>
    <n v="2.2000000000000002"/>
    <s v="High"/>
    <n v="0.203125"/>
  </r>
  <r>
    <n v="94"/>
    <x v="2"/>
    <n v="3"/>
    <n v="4.9000000000000004"/>
    <n v="63.2"/>
    <n v="0"/>
    <s v="High"/>
    <n v="0.61224489795918358"/>
  </r>
  <r>
    <n v="95"/>
    <x v="4"/>
    <n v="2.2999999999999998"/>
    <n v="3"/>
    <n v="53.2"/>
    <n v="2.2999999999999998"/>
    <s v="Normal"/>
    <n v="0.76666666666666661"/>
  </r>
  <r>
    <n v="96"/>
    <x v="2"/>
    <n v="1.8"/>
    <n v="6"/>
    <n v="63.9"/>
    <n v="1.5"/>
    <s v="High"/>
    <n v="0.3"/>
  </r>
  <r>
    <n v="97"/>
    <x v="1"/>
    <n v="2.6"/>
    <n v="2.9"/>
    <n v="77.599999999999994"/>
    <n v="0"/>
    <s v="Normal"/>
    <n v="0.89655172413793105"/>
  </r>
  <r>
    <n v="98"/>
    <x v="3"/>
    <n v="2.1"/>
    <n v="3"/>
    <n v="72.099999999999994"/>
    <n v="2.5"/>
    <s v="Normal"/>
    <n v="0.70000000000000007"/>
  </r>
  <r>
    <n v="99"/>
    <x v="3"/>
    <n v="4.4000000000000004"/>
    <n v="2.7"/>
    <n v="78.7"/>
    <n v="2.7"/>
    <s v="Normal"/>
    <n v="1.6296296296296298"/>
  </r>
  <r>
    <n v="100"/>
    <x v="4"/>
    <n v="1.8"/>
    <n v="2.6"/>
    <n v="60.6"/>
    <n v="0"/>
    <s v="Normal"/>
    <n v="0.69230769230769229"/>
  </r>
  <r>
    <n v="101"/>
    <x v="0"/>
    <n v="1.6"/>
    <n v="4.5"/>
    <n v="61.2"/>
    <n v="1.6"/>
    <s v="High"/>
    <n v="0.35555555555555557"/>
  </r>
  <r>
    <n v="102"/>
    <x v="4"/>
    <n v="2"/>
    <n v="3.6"/>
    <n v="72"/>
    <n v="2.6"/>
    <s v="Normal"/>
    <n v="0.55555555555555558"/>
  </r>
  <r>
    <n v="103"/>
    <x v="0"/>
    <n v="2.1"/>
    <n v="0"/>
    <n v="64"/>
    <n v="2.5"/>
    <s v="Normal"/>
    <n v="0"/>
  </r>
  <r>
    <n v="104"/>
    <x v="3"/>
    <n v="0"/>
    <n v="3.6"/>
    <n v="83"/>
    <n v="2.2000000000000002"/>
    <s v="Normal"/>
    <n v="0"/>
  </r>
  <r>
    <n v="105"/>
    <x v="4"/>
    <n v="0.5"/>
    <n v="3.2"/>
    <n v="63.7"/>
    <n v="0"/>
    <s v="Normal"/>
    <n v="0.15625"/>
  </r>
  <r>
    <n v="106"/>
    <x v="1"/>
    <n v="2.9"/>
    <n v="5.3"/>
    <n v="65"/>
    <n v="2.1"/>
    <s v="High"/>
    <n v="0.54716981132075471"/>
  </r>
  <r>
    <n v="107"/>
    <x v="2"/>
    <n v="2"/>
    <n v="3.2"/>
    <n v="74.2"/>
    <n v="1.3"/>
    <s v="Normal"/>
    <n v="0.625"/>
  </r>
  <r>
    <n v="108"/>
    <x v="0"/>
    <n v="3.3"/>
    <n v="7.8"/>
    <n v="66.099999999999994"/>
    <n v="2.2999999999999998"/>
    <s v="High"/>
    <n v="0.42307692307692307"/>
  </r>
  <r>
    <n v="109"/>
    <x v="2"/>
    <n v="2.5"/>
    <n v="6.1"/>
    <n v="57.7"/>
    <n v="1.7"/>
    <s v="High"/>
    <n v="0.4098360655737705"/>
  </r>
  <r>
    <n v="110"/>
    <x v="2"/>
    <n v="3"/>
    <n v="3.4"/>
    <n v="59"/>
    <n v="1.5"/>
    <s v="Normal"/>
    <n v="0.88235294117647056"/>
  </r>
  <r>
    <n v="111"/>
    <x v="4"/>
    <n v="2.1"/>
    <n v="5.7"/>
    <n v="75.400000000000006"/>
    <n v="2"/>
    <s v="High"/>
    <n v="0.36842105263157893"/>
  </r>
  <r>
    <n v="112"/>
    <x v="2"/>
    <n v="2.9"/>
    <n v="0"/>
    <n v="56.4"/>
    <n v="1.4"/>
    <s v="Normal"/>
    <n v="0"/>
  </r>
  <r>
    <n v="113"/>
    <x v="1"/>
    <n v="4.2"/>
    <n v="4.4000000000000004"/>
    <n v="84"/>
    <n v="1.5"/>
    <s v="High"/>
    <n v="0.95454545454545447"/>
  </r>
  <r>
    <n v="114"/>
    <x v="2"/>
    <n v="1.8"/>
    <n v="5.2"/>
    <n v="63.1"/>
    <n v="1.1000000000000001"/>
    <s v="High"/>
    <n v="0.34615384615384615"/>
  </r>
  <r>
    <n v="115"/>
    <x v="4"/>
    <n v="2.4"/>
    <n v="4.0999999999999996"/>
    <n v="76.2"/>
    <n v="0.2"/>
    <s v="High"/>
    <n v="0.58536585365853666"/>
  </r>
  <r>
    <n v="116"/>
    <x v="1"/>
    <n v="2"/>
    <n v="4.4000000000000004"/>
    <n v="63.7"/>
    <n v="2"/>
    <s v="High"/>
    <n v="0.45454545454545453"/>
  </r>
  <r>
    <n v="117"/>
    <x v="3"/>
    <n v="4.0999999999999996"/>
    <n v="5.2"/>
    <n v="60.8"/>
    <n v="0.9"/>
    <s v="High"/>
    <n v="0.78846153846153832"/>
  </r>
  <r>
    <n v="118"/>
    <x v="2"/>
    <n v="2.1"/>
    <n v="7.1"/>
    <n v="72.5"/>
    <n v="1.3"/>
    <s v="High"/>
    <n v="0.29577464788732399"/>
  </r>
  <r>
    <n v="119"/>
    <x v="4"/>
    <n v="1.8"/>
    <n v="4.4000000000000004"/>
    <n v="80.5"/>
    <n v="1.7"/>
    <s v="High"/>
    <n v="0.40909090909090906"/>
  </r>
  <r>
    <n v="120"/>
    <x v="3"/>
    <n v="1.9"/>
    <n v="3.3"/>
    <n v="67.5"/>
    <n v="0"/>
    <s v="Normal"/>
    <n v="0.5757575757575758"/>
  </r>
  <r>
    <n v="121"/>
    <x v="3"/>
    <n v="2.4"/>
    <n v="1"/>
    <n v="69.3"/>
    <n v="0"/>
    <s v="Normal"/>
    <n v="2.4"/>
  </r>
  <r>
    <n v="122"/>
    <x v="0"/>
    <n v="1.7"/>
    <n v="6.9"/>
    <n v="78.099999999999994"/>
    <n v="1.3"/>
    <s v="High"/>
    <n v="0.24637681159420288"/>
  </r>
  <r>
    <n v="123"/>
    <x v="1"/>
    <n v="2.1"/>
    <n v="3.6"/>
    <n v="78.400000000000006"/>
    <n v="1.9"/>
    <s v="Normal"/>
    <n v="0.58333333333333337"/>
  </r>
  <r>
    <n v="124"/>
    <x v="2"/>
    <n v="2.7"/>
    <n v="4.8"/>
    <n v="69.599999999999994"/>
    <n v="2.1"/>
    <s v="High"/>
    <n v="0.56250000000000011"/>
  </r>
  <r>
    <n v="125"/>
    <x v="4"/>
    <n v="2.4"/>
    <n v="6.9"/>
    <n v="65.599999999999994"/>
    <n v="0.2"/>
    <s v="High"/>
    <n v="0.34782608695652173"/>
  </r>
  <r>
    <n v="126"/>
    <x v="0"/>
    <n v="3.3"/>
    <n v="4.3"/>
    <n v="70.8"/>
    <n v="2"/>
    <s v="High"/>
    <n v="0.76744186046511631"/>
  </r>
  <r>
    <n v="127"/>
    <x v="1"/>
    <n v="2.2000000000000002"/>
    <n v="3.7"/>
    <n v="68.099999999999994"/>
    <n v="1.3"/>
    <s v="Normal"/>
    <n v="0.59459459459459463"/>
  </r>
  <r>
    <n v="128"/>
    <x v="0"/>
    <n v="2.2999999999999998"/>
    <n v="6.1"/>
    <n v="73.099999999999994"/>
    <n v="0.8"/>
    <s v="High"/>
    <n v="0.37704918032786883"/>
  </r>
  <r>
    <n v="129"/>
    <x v="1"/>
    <n v="2.8"/>
    <n v="4.7"/>
    <n v="58.1"/>
    <n v="1"/>
    <s v="High"/>
    <n v="0.5957446808510638"/>
  </r>
  <r>
    <n v="130"/>
    <x v="1"/>
    <n v="4.7"/>
    <n v="4.9000000000000004"/>
    <n v="72.8"/>
    <n v="2.1"/>
    <s v="High"/>
    <n v="0.95918367346938771"/>
  </r>
  <r>
    <n v="131"/>
    <x v="2"/>
    <n v="1.7"/>
    <n v="1.7"/>
    <n v="62.8"/>
    <n v="1.7"/>
    <s v="Normal"/>
    <n v="1"/>
  </r>
  <r>
    <n v="132"/>
    <x v="1"/>
    <n v="4.4000000000000004"/>
    <n v="5.8"/>
    <n v="79.099999999999994"/>
    <n v="1.5"/>
    <s v="High"/>
    <n v="0.75862068965517249"/>
  </r>
  <r>
    <n v="133"/>
    <x v="0"/>
    <n v="1.3"/>
    <n v="4.5999999999999996"/>
    <n v="63.3"/>
    <n v="1.7"/>
    <s v="High"/>
    <n v="0.28260869565217395"/>
  </r>
  <r>
    <n v="134"/>
    <x v="1"/>
    <n v="2.7"/>
    <n v="1.9"/>
    <n v="63.4"/>
    <n v="2.2000000000000002"/>
    <s v="Normal"/>
    <n v="1.4210526315789476"/>
  </r>
  <r>
    <n v="135"/>
    <x v="2"/>
    <n v="0"/>
    <n v="4.7"/>
    <n v="74.5"/>
    <n v="1.4"/>
    <s v="High"/>
    <n v="0"/>
  </r>
  <r>
    <n v="136"/>
    <x v="2"/>
    <n v="1.7"/>
    <n v="0.9"/>
    <n v="70.099999999999994"/>
    <n v="1.5"/>
    <s v="Normal"/>
    <n v="1.8888888888888888"/>
  </r>
  <r>
    <n v="137"/>
    <x v="0"/>
    <n v="3.2"/>
    <n v="7.5"/>
    <n v="92.8"/>
    <n v="2.4"/>
    <s v="High"/>
    <n v="0.42666666666666669"/>
  </r>
  <r>
    <n v="138"/>
    <x v="3"/>
    <n v="3.1"/>
    <n v="2.2999999999999998"/>
    <n v="0"/>
    <n v="1.2"/>
    <s v="Normal"/>
    <n v="1.347826086956522"/>
  </r>
  <r>
    <n v="139"/>
    <x v="3"/>
    <n v="2"/>
    <n v="6.4"/>
    <n v="71.099999999999994"/>
    <n v="2"/>
    <s v="High"/>
    <n v="0.3125"/>
  </r>
  <r>
    <n v="140"/>
    <x v="1"/>
    <n v="0.4"/>
    <n v="2.8"/>
    <n v="81.3"/>
    <n v="1.1000000000000001"/>
    <s v="Normal"/>
    <n v="0.14285714285714288"/>
  </r>
  <r>
    <n v="141"/>
    <x v="4"/>
    <n v="2.1"/>
    <n v="4.8"/>
    <n v="64.2"/>
    <n v="1.2"/>
    <s v="High"/>
    <n v="0.43750000000000006"/>
  </r>
  <r>
    <n v="142"/>
    <x v="1"/>
    <n v="2.6"/>
    <n v="2.6"/>
    <n v="60.9"/>
    <n v="1.4"/>
    <s v="Normal"/>
    <n v="1"/>
  </r>
  <r>
    <n v="143"/>
    <x v="0"/>
    <n v="2.5"/>
    <n v="5.5"/>
    <n v="61.3"/>
    <n v="1.9"/>
    <s v="High"/>
    <n v="0.45454545454545453"/>
  </r>
  <r>
    <n v="144"/>
    <x v="0"/>
    <n v="3.3"/>
    <n v="3.6"/>
    <n v="53.9"/>
    <n v="2.5"/>
    <s v="Normal"/>
    <n v="0.91666666666666663"/>
  </r>
  <r>
    <n v="145"/>
    <x v="0"/>
    <n v="4.4000000000000004"/>
    <n v="4.7"/>
    <n v="83.5"/>
    <n v="1.6"/>
    <s v="High"/>
    <n v="0.93617021276595747"/>
  </r>
  <r>
    <n v="146"/>
    <x v="0"/>
    <n v="2.9"/>
    <n v="4"/>
    <n v="66.7"/>
    <n v="0.3"/>
    <s v="Normal"/>
    <n v="0.72499999999999998"/>
  </r>
  <r>
    <n v="147"/>
    <x v="0"/>
    <n v="3.1"/>
    <n v="2"/>
    <n v="65.5"/>
    <n v="2"/>
    <s v="Normal"/>
    <n v="1.55"/>
  </r>
  <r>
    <n v="148"/>
    <x v="2"/>
    <n v="2.6"/>
    <n v="4.8"/>
    <n v="48.8"/>
    <n v="3.5"/>
    <s v="High"/>
    <n v="0.54166666666666674"/>
  </r>
  <r>
    <n v="149"/>
    <x v="3"/>
    <n v="3.7"/>
    <n v="3.2"/>
    <n v="55.7"/>
    <n v="1.6"/>
    <s v="Normal"/>
    <n v="1.15625"/>
  </r>
  <r>
    <n v="150"/>
    <x v="0"/>
    <n v="3"/>
    <n v="5.6"/>
    <n v="84.7"/>
    <n v="0.1"/>
    <s v="High"/>
    <n v="0.5357142857142857"/>
  </r>
  <r>
    <n v="151"/>
    <x v="4"/>
    <n v="3.2"/>
    <n v="3.6"/>
    <n v="73"/>
    <n v="1.6"/>
    <s v="Normal"/>
    <n v="0.88888888888888895"/>
  </r>
  <r>
    <n v="152"/>
    <x v="4"/>
    <n v="4.3"/>
    <n v="3.9"/>
    <n v="81.7"/>
    <n v="1.5"/>
    <s v="Normal"/>
    <n v="1.1025641025641026"/>
  </r>
  <r>
    <n v="153"/>
    <x v="4"/>
    <n v="2.7"/>
    <n v="6.5"/>
    <n v="80.400000000000006"/>
    <n v="1.4"/>
    <s v="High"/>
    <n v="0.41538461538461541"/>
  </r>
  <r>
    <n v="154"/>
    <x v="4"/>
    <n v="2.2000000000000002"/>
    <n v="7.6"/>
    <n v="60"/>
    <n v="2.2999999999999998"/>
    <s v="High"/>
    <n v="0.28947368421052633"/>
  </r>
  <r>
    <n v="155"/>
    <x v="2"/>
    <n v="2.9"/>
    <n v="5.2"/>
    <n v="94.3"/>
    <n v="2.6"/>
    <s v="High"/>
    <n v="0.55769230769230771"/>
  </r>
  <r>
    <n v="156"/>
    <x v="4"/>
    <n v="3.6"/>
    <n v="3.6"/>
    <n v="89.5"/>
    <n v="2"/>
    <s v="Normal"/>
    <n v="1"/>
  </r>
  <r>
    <n v="157"/>
    <x v="0"/>
    <n v="3"/>
    <n v="3.4"/>
    <n v="64.400000000000006"/>
    <n v="1.4"/>
    <s v="Normal"/>
    <n v="0.88235294117647056"/>
  </r>
  <r>
    <n v="158"/>
    <x v="1"/>
    <n v="3.6"/>
    <n v="2.8"/>
    <n v="34.299999999999997"/>
    <n v="2.4"/>
    <s v="Normal"/>
    <n v="1.2857142857142858"/>
  </r>
  <r>
    <n v="159"/>
    <x v="4"/>
    <n v="1.8"/>
    <n v="3.1"/>
    <n v="66.400000000000006"/>
    <n v="0.3"/>
    <s v="Normal"/>
    <n v="0.58064516129032262"/>
  </r>
  <r>
    <n v="160"/>
    <x v="2"/>
    <n v="1.6"/>
    <n v="3.6"/>
    <n v="72.400000000000006"/>
    <n v="0.9"/>
    <s v="Normal"/>
    <n v="0.44444444444444448"/>
  </r>
  <r>
    <n v="161"/>
    <x v="2"/>
    <n v="2"/>
    <n v="6.9"/>
    <n v="64.3"/>
    <n v="1"/>
    <s v="High"/>
    <n v="0.28985507246376813"/>
  </r>
  <r>
    <n v="162"/>
    <x v="4"/>
    <n v="1.2"/>
    <n v="3.7"/>
    <n v="67.8"/>
    <n v="1.5"/>
    <s v="Normal"/>
    <n v="0.32432432432432429"/>
  </r>
  <r>
    <n v="163"/>
    <x v="1"/>
    <n v="2.6"/>
    <n v="2.2000000000000002"/>
    <n v="61.7"/>
    <n v="1.9"/>
    <s v="Normal"/>
    <n v="1.1818181818181817"/>
  </r>
  <r>
    <n v="164"/>
    <x v="4"/>
    <n v="2.1"/>
    <n v="4.0999999999999996"/>
    <n v="79.2"/>
    <n v="1.3"/>
    <s v="High"/>
    <n v="0.51219512195121952"/>
  </r>
  <r>
    <n v="165"/>
    <x v="2"/>
    <n v="3.7"/>
    <n v="4.3"/>
    <n v="70.599999999999994"/>
    <n v="0.8"/>
    <s v="High"/>
    <n v="0.86046511627906985"/>
  </r>
  <r>
    <n v="166"/>
    <x v="3"/>
    <n v="1.2"/>
    <n v="4.0999999999999996"/>
    <n v="79.5"/>
    <n v="2.2999999999999998"/>
    <s v="High"/>
    <n v="0.29268292682926833"/>
  </r>
  <r>
    <n v="167"/>
    <x v="0"/>
    <n v="4.0999999999999996"/>
    <n v="5.2"/>
    <n v="82.2"/>
    <n v="1.3"/>
    <s v="High"/>
    <n v="0.78846153846153832"/>
  </r>
  <r>
    <n v="168"/>
    <x v="2"/>
    <n v="1.5"/>
    <n v="4.0999999999999996"/>
    <n v="48.3"/>
    <n v="1.6"/>
    <s v="High"/>
    <n v="0.36585365853658541"/>
  </r>
  <r>
    <n v="169"/>
    <x v="4"/>
    <n v="1.3"/>
    <n v="5.2"/>
    <n v="62.3"/>
    <n v="1.9"/>
    <s v="High"/>
    <n v="0.25"/>
  </r>
  <r>
    <n v="170"/>
    <x v="0"/>
    <n v="1.7"/>
    <n v="2.8"/>
    <n v="63.8"/>
    <n v="1.5"/>
    <s v="Normal"/>
    <n v="0.60714285714285721"/>
  </r>
  <r>
    <n v="171"/>
    <x v="4"/>
    <n v="4.5"/>
    <n v="0"/>
    <n v="95.7"/>
    <n v="1.5"/>
    <s v="Normal"/>
    <n v="0"/>
  </r>
  <r>
    <n v="172"/>
    <x v="4"/>
    <n v="2.5"/>
    <n v="4.4000000000000004"/>
    <n v="71.5"/>
    <n v="2.2999999999999998"/>
    <s v="High"/>
    <n v="0.56818181818181812"/>
  </r>
  <r>
    <n v="173"/>
    <x v="3"/>
    <n v="3"/>
    <n v="4.5999999999999996"/>
    <n v="0"/>
    <n v="1.6"/>
    <s v="High"/>
    <n v="0.65217391304347827"/>
  </r>
  <r>
    <n v="174"/>
    <x v="0"/>
    <n v="2.2999999999999998"/>
    <n v="2.8"/>
    <n v="51.2"/>
    <n v="2.2000000000000002"/>
    <s v="Normal"/>
    <n v="0.8214285714285714"/>
  </r>
  <r>
    <n v="175"/>
    <x v="0"/>
    <n v="2.4"/>
    <n v="4.7"/>
    <n v="71.400000000000006"/>
    <n v="1.9"/>
    <s v="High"/>
    <n v="0.51063829787234039"/>
  </r>
  <r>
    <n v="176"/>
    <x v="3"/>
    <n v="2"/>
    <n v="5"/>
    <n v="79.8"/>
    <n v="3.1"/>
    <s v="High"/>
    <n v="0.4"/>
  </r>
  <r>
    <n v="177"/>
    <x v="2"/>
    <n v="2.6"/>
    <n v="2.2000000000000002"/>
    <n v="78.599999999999994"/>
    <n v="1.8"/>
    <s v="Normal"/>
    <n v="1.1818181818181817"/>
  </r>
  <r>
    <n v="178"/>
    <x v="4"/>
    <n v="3"/>
    <n v="1.5"/>
    <n v="76.2"/>
    <n v="2"/>
    <s v="Normal"/>
    <n v="2"/>
  </r>
  <r>
    <n v="179"/>
    <x v="1"/>
    <n v="4.2"/>
    <n v="4.4000000000000004"/>
    <n v="70.099999999999994"/>
    <n v="2.4"/>
    <s v="High"/>
    <n v="0.95454545454545447"/>
  </r>
  <r>
    <n v="180"/>
    <x v="4"/>
    <n v="0.6"/>
    <n v="3.3"/>
    <n v="70.599999999999994"/>
    <n v="1.6"/>
    <s v="Normal"/>
    <n v="0.18181818181818182"/>
  </r>
  <r>
    <n v="181"/>
    <x v="4"/>
    <n v="4.0999999999999996"/>
    <n v="4.4000000000000004"/>
    <n v="53.1"/>
    <n v="1"/>
    <s v="High"/>
    <n v="0.93181818181818166"/>
  </r>
  <r>
    <n v="182"/>
    <x v="2"/>
    <n v="3"/>
    <n v="2.1"/>
    <n v="61"/>
    <n v="1.1000000000000001"/>
    <s v="Normal"/>
    <n v="1.4285714285714286"/>
  </r>
  <r>
    <n v="183"/>
    <x v="4"/>
    <n v="2.1"/>
    <n v="1.7"/>
    <n v="72.3"/>
    <n v="1.1000000000000001"/>
    <s v="Normal"/>
    <n v="1.2352941176470589"/>
  </r>
  <r>
    <n v="184"/>
    <x v="3"/>
    <n v="2"/>
    <n v="4.3"/>
    <n v="62.8"/>
    <n v="0.7"/>
    <s v="High"/>
    <n v="0.46511627906976744"/>
  </r>
  <r>
    <n v="185"/>
    <x v="3"/>
    <n v="3.5"/>
    <n v="3.5"/>
    <n v="76.900000000000006"/>
    <n v="1.8"/>
    <s v="Normal"/>
    <n v="1"/>
  </r>
  <r>
    <n v="186"/>
    <x v="0"/>
    <n v="2.7"/>
    <n v="0"/>
    <n v="74.7"/>
    <n v="1"/>
    <s v="Normal"/>
    <n v="0"/>
  </r>
  <r>
    <n v="187"/>
    <x v="1"/>
    <n v="1"/>
    <n v="6"/>
    <n v="83.7"/>
    <n v="1.7"/>
    <s v="High"/>
    <n v="0.16666666666666666"/>
  </r>
  <r>
    <n v="188"/>
    <x v="4"/>
    <n v="2.9"/>
    <n v="2"/>
    <n v="79.599999999999994"/>
    <n v="1.4"/>
    <s v="Normal"/>
    <n v="1.45"/>
  </r>
  <r>
    <n v="189"/>
    <x v="4"/>
    <n v="3.6"/>
    <n v="7.9"/>
    <n v="72.3"/>
    <n v="1.5"/>
    <s v="High"/>
    <n v="0.45569620253164556"/>
  </r>
  <r>
    <n v="190"/>
    <x v="2"/>
    <n v="3.4"/>
    <n v="3.1"/>
    <n v="77.5"/>
    <n v="1.9"/>
    <s v="Normal"/>
    <n v="1.096774193548387"/>
  </r>
  <r>
    <n v="191"/>
    <x v="3"/>
    <n v="1.9"/>
    <n v="4.5999999999999996"/>
    <n v="80.099999999999994"/>
    <n v="1.1000000000000001"/>
    <s v="High"/>
    <n v="0.41304347826086957"/>
  </r>
  <r>
    <n v="192"/>
    <x v="1"/>
    <n v="1.2"/>
    <n v="6.5"/>
    <n v="64.900000000000006"/>
    <n v="2"/>
    <s v="High"/>
    <n v="0.1846153846153846"/>
  </r>
  <r>
    <n v="193"/>
    <x v="0"/>
    <n v="2.2000000000000002"/>
    <n v="6.2"/>
    <n v="66.7"/>
    <n v="2.8"/>
    <s v="High"/>
    <n v="0.35483870967741937"/>
  </r>
  <r>
    <n v="194"/>
    <x v="3"/>
    <n v="5.8"/>
    <n v="7"/>
    <n v="69"/>
    <n v="1.8"/>
    <s v="High"/>
    <n v="0.82857142857142851"/>
  </r>
  <r>
    <n v="195"/>
    <x v="0"/>
    <n v="1"/>
    <n v="1.7"/>
    <n v="65.2"/>
    <n v="0.9"/>
    <s v="Normal"/>
    <n v="0.58823529411764708"/>
  </r>
  <r>
    <n v="196"/>
    <x v="2"/>
    <n v="1.7"/>
    <n v="2.2999999999999998"/>
    <n v="80.2"/>
    <n v="1"/>
    <s v="Normal"/>
    <n v="0.73913043478260876"/>
  </r>
  <r>
    <n v="197"/>
    <x v="2"/>
    <n v="2.9"/>
    <n v="4.3"/>
    <n v="63.7"/>
    <n v="1.3"/>
    <s v="High"/>
    <n v="0.67441860465116277"/>
  </r>
  <r>
    <n v="198"/>
    <x v="4"/>
    <n v="2.4"/>
    <n v="5.3"/>
    <n v="82.5"/>
    <n v="1"/>
    <s v="High"/>
    <n v="0.45283018867924529"/>
  </r>
  <r>
    <n v="199"/>
    <x v="1"/>
    <n v="2.2999999999999998"/>
    <n v="4"/>
    <n v="66.3"/>
    <n v="0.7"/>
    <s v="Normal"/>
    <n v="0.57499999999999996"/>
  </r>
  <r>
    <n v="200"/>
    <x v="0"/>
    <n v="4.5"/>
    <n v="1.5"/>
    <n v="74.7"/>
    <n v="1.6"/>
    <s v="Normal"/>
    <n v="3"/>
  </r>
  <r>
    <n v="132"/>
    <x v="1"/>
    <n v="4.4000000000000004"/>
    <n v="5.8"/>
    <n v="79.099999999999994"/>
    <n v="1.5"/>
    <s v="High"/>
    <n v="0.75862068965517249"/>
  </r>
  <r>
    <n v="46"/>
    <x v="4"/>
    <n v="1.8"/>
    <n v="4.9000000000000004"/>
    <n v="74.599999999999994"/>
    <n v="1.6"/>
    <s v="High"/>
    <n v="0.36734693877551017"/>
  </r>
  <r>
    <n v="129"/>
    <x v="1"/>
    <n v="2.8"/>
    <n v="4.7"/>
    <n v="58.1"/>
    <n v="1"/>
    <s v="High"/>
    <n v="0.5957446808510638"/>
  </r>
  <r>
    <n v="24"/>
    <x v="4"/>
    <n v="3.2"/>
    <n v="2.6"/>
    <n v="53.2"/>
    <n v="0"/>
    <s v="Normal"/>
    <n v="1.2307692307692308"/>
  </r>
  <r>
    <n v="39"/>
    <x v="4"/>
    <n v="2.4"/>
    <n v="3.2"/>
    <n v="76.7"/>
    <n v="1.8"/>
    <s v="Normal"/>
    <n v="0.74999999999999989"/>
  </r>
  <r>
    <m/>
    <x v="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50FB0-B3AB-4C1E-B66A-A5169E6742D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3:B6" firstHeaderRow="1" firstDataRow="1" firstDataCol="1"/>
  <pivotFields count="8">
    <pivotField showAll="0"/>
    <pivotField showAll="0"/>
    <pivotField showAll="0"/>
    <pivotField showAll="0">
      <items count="61">
        <item x="11"/>
        <item x="33"/>
        <item x="20"/>
        <item x="49"/>
        <item x="48"/>
        <item x="23"/>
        <item x="55"/>
        <item x="13"/>
        <item x="39"/>
        <item x="4"/>
        <item x="31"/>
        <item x="12"/>
        <item x="56"/>
        <item x="37"/>
        <item x="51"/>
        <item x="21"/>
        <item x="19"/>
        <item x="0"/>
        <item x="3"/>
        <item x="22"/>
        <item x="38"/>
        <item x="24"/>
        <item x="30"/>
        <item x="36"/>
        <item x="44"/>
        <item x="15"/>
        <item x="9"/>
        <item x="35"/>
        <item x="40"/>
        <item x="32"/>
        <item x="1"/>
        <item x="8"/>
        <item x="41"/>
        <item x="2"/>
        <item x="5"/>
        <item x="43"/>
        <item x="7"/>
        <item x="16"/>
        <item x="27"/>
        <item x="34"/>
        <item x="26"/>
        <item x="17"/>
        <item x="28"/>
        <item x="52"/>
        <item x="14"/>
        <item x="29"/>
        <item x="10"/>
        <item x="18"/>
        <item x="42"/>
        <item x="58"/>
        <item x="25"/>
        <item x="53"/>
        <item x="6"/>
        <item x="45"/>
        <item x="59"/>
        <item x="47"/>
        <item x="50"/>
        <item x="54"/>
        <item x="46"/>
        <item x="57"/>
        <item t="default"/>
      </items>
    </pivotField>
    <pivotField dataField="1" showAll="0">
      <items count="160">
        <item x="34"/>
        <item x="128"/>
        <item x="74"/>
        <item x="53"/>
        <item x="49"/>
        <item x="54"/>
        <item x="3"/>
        <item x="69"/>
        <item x="138"/>
        <item x="24"/>
        <item x="118"/>
        <item x="142"/>
        <item x="50"/>
        <item x="10"/>
        <item x="145"/>
        <item x="22"/>
        <item x="114"/>
        <item x="119"/>
        <item x="92"/>
        <item x="40"/>
        <item x="89"/>
        <item x="102"/>
        <item x="78"/>
        <item x="90"/>
        <item x="28"/>
        <item x="124"/>
        <item x="83"/>
        <item x="71"/>
        <item x="96"/>
        <item x="112"/>
        <item x="146"/>
        <item x="56"/>
        <item x="113"/>
        <item x="133"/>
        <item x="15"/>
        <item x="139"/>
        <item x="23"/>
        <item x="104"/>
        <item x="94"/>
        <item x="79"/>
        <item x="106"/>
        <item x="107"/>
        <item x="86"/>
        <item x="140"/>
        <item x="80"/>
        <item x="30"/>
        <item x="111"/>
        <item x="131"/>
        <item x="127"/>
        <item x="153"/>
        <item x="87"/>
        <item x="155"/>
        <item x="117"/>
        <item x="37"/>
        <item x="12"/>
        <item x="67"/>
        <item x="46"/>
        <item x="75"/>
        <item x="158"/>
        <item x="129"/>
        <item x="64"/>
        <item x="116"/>
        <item x="41"/>
        <item x="97"/>
        <item x="132"/>
        <item x="2"/>
        <item x="1"/>
        <item x="154"/>
        <item x="7"/>
        <item x="65"/>
        <item x="99"/>
        <item x="58"/>
        <item x="20"/>
        <item x="135"/>
        <item x="100"/>
        <item x="109"/>
        <item x="18"/>
        <item x="5"/>
        <item x="31"/>
        <item x="73"/>
        <item x="84"/>
        <item x="81"/>
        <item x="147"/>
        <item x="130"/>
        <item x="47"/>
        <item x="68"/>
        <item x="17"/>
        <item x="103"/>
        <item x="121"/>
        <item x="101"/>
        <item x="88"/>
        <item x="32"/>
        <item x="38"/>
        <item x="148"/>
        <item x="60"/>
        <item x="13"/>
        <item x="0"/>
        <item x="57"/>
        <item x="91"/>
        <item x="8"/>
        <item x="36"/>
        <item x="42"/>
        <item x="95"/>
        <item x="27"/>
        <item x="14"/>
        <item x="39"/>
        <item x="35"/>
        <item x="33"/>
        <item x="52"/>
        <item x="63"/>
        <item x="151"/>
        <item x="19"/>
        <item x="4"/>
        <item x="48"/>
        <item x="44"/>
        <item x="9"/>
        <item x="98"/>
        <item x="144"/>
        <item x="82"/>
        <item x="21"/>
        <item x="105"/>
        <item x="134"/>
        <item x="136"/>
        <item x="150"/>
        <item x="62"/>
        <item x="143"/>
        <item x="51"/>
        <item x="152"/>
        <item x="156"/>
        <item x="123"/>
        <item x="59"/>
        <item x="110"/>
        <item x="122"/>
        <item x="55"/>
        <item x="137"/>
        <item x="157"/>
        <item x="85"/>
        <item x="76"/>
        <item x="115"/>
        <item x="149"/>
        <item x="93"/>
        <item x="120"/>
        <item x="77"/>
        <item x="61"/>
        <item x="43"/>
        <item x="45"/>
        <item x="6"/>
        <item x="66"/>
        <item x="16"/>
        <item x="126"/>
        <item x="26"/>
        <item x="25"/>
        <item x="70"/>
        <item x="108"/>
        <item x="29"/>
        <item x="125"/>
        <item x="141"/>
        <item x="11"/>
        <item x="72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Test Scores" fld="4" subtotal="average" baseField="6" baseItem="0" numFmtId="164"/>
  </dataFields>
  <chartFormats count="3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3410D-C987-455B-AAD7-21E4F121B5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4" firstHeaderRow="1" firstDataRow="1" firstDataCol="1"/>
  <pivotFields count="8">
    <pivotField showAll="0"/>
    <pivotField showAll="0"/>
    <pivotField showAll="0"/>
    <pivotField axis="axisRow" showAll="0">
      <items count="61">
        <item x="11"/>
        <item x="33"/>
        <item x="20"/>
        <item x="49"/>
        <item x="48"/>
        <item x="23"/>
        <item x="55"/>
        <item x="13"/>
        <item x="39"/>
        <item x="4"/>
        <item x="31"/>
        <item x="12"/>
        <item x="56"/>
        <item x="37"/>
        <item x="51"/>
        <item x="21"/>
        <item x="19"/>
        <item x="0"/>
        <item x="3"/>
        <item x="22"/>
        <item x="38"/>
        <item x="24"/>
        <item x="30"/>
        <item x="36"/>
        <item x="44"/>
        <item x="15"/>
        <item x="9"/>
        <item x="35"/>
        <item x="40"/>
        <item x="32"/>
        <item x="1"/>
        <item x="8"/>
        <item x="41"/>
        <item x="2"/>
        <item x="5"/>
        <item x="43"/>
        <item x="7"/>
        <item x="16"/>
        <item x="27"/>
        <item x="34"/>
        <item x="26"/>
        <item x="17"/>
        <item x="28"/>
        <item x="52"/>
        <item x="14"/>
        <item x="29"/>
        <item x="10"/>
        <item x="18"/>
        <item x="42"/>
        <item x="58"/>
        <item x="25"/>
        <item x="53"/>
        <item x="6"/>
        <item x="45"/>
        <item x="59"/>
        <item x="47"/>
        <item x="50"/>
        <item x="54"/>
        <item x="46"/>
        <item x="57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Average of Extra Curricular Hours" fld="5" subtotal="average" baseField="3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3FB30-7657-4E87-950B-33FFDA35169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8">
    <pivotField showAll="0"/>
    <pivotField axis="axisRow" showAll="0">
      <items count="7">
        <item x="4"/>
        <item x="3"/>
        <item x="2"/>
        <item x="0"/>
        <item x="1"/>
        <item h="1" x="5"/>
        <item t="default"/>
      </items>
    </pivotField>
    <pivotField dataField="1" showAll="0"/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est Scores" fld="4" subtotal="average" baseField="1" baseItem="0" numFmtId="164"/>
    <dataField name="Average of Study Hours" fld="2" subtotal="average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9BD1396-2E8F-4899-B7ED-0E985586F737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Student_ID" tableColumnId="1"/>
      <queryTableField id="2" name="Age" tableColumnId="2"/>
      <queryTableField id="3" name="Study_Hours" tableColumnId="3"/>
      <queryTableField id="4" name="Screen_Time" tableColumnId="4"/>
      <queryTableField id="5" name="Test_Scores" tableColumnId="5"/>
      <queryTableField id="6" name="Extra_Curricular_Hours" tableColumnId="6"/>
      <queryTableField id="7" dataBound="0" tableColumnId="7"/>
      <queryTableField id="8" dataBound="0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3F6E3-15E7-420D-A728-698501799B19}" name="Table1" displayName="Table1" ref="A1:F206" totalsRowShown="0">
  <autoFilter ref="A1:F206" xr:uid="{4CE3F6E3-15E7-420D-A728-698501799B19}"/>
  <tableColumns count="6">
    <tableColumn id="1" xr3:uid="{00F387CC-EC92-4195-AA07-97B30A2C8348}" name="Student_ID"/>
    <tableColumn id="2" xr3:uid="{A61EA3AC-8D71-4E07-BD31-5F84C2F664D5}" name="Age"/>
    <tableColumn id="3" xr3:uid="{1BCE8973-6ABC-415A-9E59-884FA65CE4EC}" name="Study_Hours"/>
    <tableColumn id="4" xr3:uid="{1F51A574-D739-46A8-9752-27EA5145AB47}" name="Screen_Time"/>
    <tableColumn id="5" xr3:uid="{4C2E6BE6-2313-4A64-ADE0-695577FCBA14}" name="Test_Scores"/>
    <tableColumn id="6" xr3:uid="{CC8008CF-3D52-4057-B573-A0832622019B}" name="Extra_Curricular_Hou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1A9A9D-1D2E-4619-96BC-765FB47EFC4F}" name="Table1__2" displayName="Table1__2" ref="A1:H206" tableType="queryTable" totalsRowShown="0">
  <autoFilter ref="A1:H206" xr:uid="{751A9A9D-1D2E-4619-96BC-765FB47EFC4F}"/>
  <tableColumns count="8">
    <tableColumn id="1" xr3:uid="{50C6A76B-32AB-4E37-A332-14B2A15458AE}" uniqueName="1" name="Student ID" queryTableFieldId="1"/>
    <tableColumn id="2" xr3:uid="{E1B02607-2E62-47D0-95C2-E5FBB3C3DEC8}" uniqueName="2" name="Age" queryTableFieldId="2"/>
    <tableColumn id="3" xr3:uid="{2FCEF17B-08C5-4BE3-95CA-D0D2A52B2A1C}" uniqueName="3" name="Study Hours" queryTableFieldId="3"/>
    <tableColumn id="4" xr3:uid="{AE97B7B7-2627-4347-ACBE-BE1EB8066546}" uniqueName="4" name="Screen Time" queryTableFieldId="4"/>
    <tableColumn id="5" xr3:uid="{212CF6FB-9E71-4E17-B019-CE1FB8601AFF}" uniqueName="5" name="Test Scores" queryTableFieldId="5"/>
    <tableColumn id="6" xr3:uid="{958E0387-3F53-41EE-8B68-DE9AD8414AC7}" uniqueName="6" name="Extra Curricular Hours" queryTableFieldId="6"/>
    <tableColumn id="7" xr3:uid="{F5754BF7-F624-458E-B724-BA3286AC906F}" uniqueName="7" name="screen time 2" queryTableFieldId="7" dataDxfId="1">
      <calculatedColumnFormula>IF(D2&gt;4,"High","Normal")</calculatedColumnFormula>
    </tableColumn>
    <tableColumn id="8" xr3:uid="{09319CE9-EA7D-4ED1-BDFF-F2D12EABFE1B}" uniqueName="8" name="Study/Screen ratio" queryTableFieldId="8" dataDxfId="0">
      <calculatedColumnFormula>IFERROR(C2/D2,0)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CD8B-5C2F-4022-A2C5-83D4A0F2A796}">
  <dimension ref="A1:F206"/>
  <sheetViews>
    <sheetView workbookViewId="0">
      <selection activeCell="I18" sqref="I18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16</v>
      </c>
      <c r="C2">
        <v>2.5</v>
      </c>
      <c r="D2">
        <v>2.7</v>
      </c>
      <c r="E2">
        <v>75</v>
      </c>
      <c r="F2">
        <v>1.6</v>
      </c>
    </row>
    <row r="3" spans="1:6" x14ac:dyDescent="0.25">
      <c r="A3">
        <v>2</v>
      </c>
      <c r="B3">
        <v>17</v>
      </c>
      <c r="C3">
        <v>2.7</v>
      </c>
      <c r="D3">
        <v>4</v>
      </c>
      <c r="E3">
        <v>68.099999999999994</v>
      </c>
      <c r="F3">
        <v>0.7</v>
      </c>
    </row>
    <row r="4" spans="1:6" x14ac:dyDescent="0.25">
      <c r="A4">
        <v>3</v>
      </c>
      <c r="B4">
        <v>15</v>
      </c>
      <c r="C4">
        <v>3</v>
      </c>
      <c r="D4">
        <v>4.3</v>
      </c>
      <c r="E4">
        <v>67.900000000000006</v>
      </c>
      <c r="F4">
        <v>1.5</v>
      </c>
    </row>
    <row r="5" spans="1:6" x14ac:dyDescent="0.25">
      <c r="A5">
        <v>4</v>
      </c>
      <c r="B5">
        <v>17</v>
      </c>
      <c r="C5">
        <v>3</v>
      </c>
      <c r="D5">
        <v>2.8</v>
      </c>
      <c r="E5">
        <v>47.2</v>
      </c>
      <c r="F5">
        <v>1.8</v>
      </c>
    </row>
    <row r="6" spans="1:6" x14ac:dyDescent="0.25">
      <c r="A6">
        <v>5</v>
      </c>
      <c r="B6">
        <v>17</v>
      </c>
      <c r="D6">
        <v>1.8</v>
      </c>
      <c r="E6">
        <v>78</v>
      </c>
      <c r="F6">
        <v>1.4</v>
      </c>
    </row>
    <row r="7" spans="1:6" x14ac:dyDescent="0.25">
      <c r="A7">
        <v>6</v>
      </c>
      <c r="B7">
        <v>14</v>
      </c>
      <c r="C7">
        <v>1.3</v>
      </c>
      <c r="D7">
        <v>4.4000000000000004</v>
      </c>
      <c r="E7">
        <v>71.5</v>
      </c>
      <c r="F7">
        <v>0.4</v>
      </c>
    </row>
    <row r="8" spans="1:6" x14ac:dyDescent="0.25">
      <c r="A8">
        <v>7</v>
      </c>
      <c r="B8">
        <v>15</v>
      </c>
      <c r="C8">
        <v>3.3</v>
      </c>
      <c r="D8">
        <v>6.7</v>
      </c>
      <c r="E8">
        <v>88</v>
      </c>
      <c r="F8">
        <v>2.9</v>
      </c>
    </row>
    <row r="9" spans="1:6" x14ac:dyDescent="0.25">
      <c r="A9">
        <v>8</v>
      </c>
      <c r="B9">
        <v>15</v>
      </c>
      <c r="C9">
        <v>2.9</v>
      </c>
      <c r="D9">
        <v>4.5999999999999996</v>
      </c>
      <c r="E9">
        <v>69.3</v>
      </c>
      <c r="F9">
        <v>1.6</v>
      </c>
    </row>
    <row r="10" spans="1:6" x14ac:dyDescent="0.25">
      <c r="A10">
        <v>9</v>
      </c>
      <c r="B10">
        <v>15</v>
      </c>
      <c r="C10">
        <v>1.4</v>
      </c>
      <c r="D10">
        <v>4.0999999999999996</v>
      </c>
      <c r="E10">
        <v>75.7</v>
      </c>
      <c r="F10">
        <v>0.9</v>
      </c>
    </row>
    <row r="11" spans="1:6" x14ac:dyDescent="0.25">
      <c r="A11">
        <v>10</v>
      </c>
      <c r="B11">
        <v>17</v>
      </c>
      <c r="C11">
        <v>1.8</v>
      </c>
      <c r="D11">
        <v>4.0999999999999996</v>
      </c>
      <c r="E11">
        <v>78.3</v>
      </c>
      <c r="F11">
        <v>2.8</v>
      </c>
    </row>
    <row r="12" spans="1:6" x14ac:dyDescent="0.25">
      <c r="A12">
        <v>11</v>
      </c>
      <c r="B12">
        <v>16</v>
      </c>
      <c r="C12">
        <v>3.4</v>
      </c>
      <c r="D12">
        <v>3.6</v>
      </c>
      <c r="E12">
        <v>52.5</v>
      </c>
      <c r="F12">
        <v>2</v>
      </c>
    </row>
    <row r="13" spans="1:6" x14ac:dyDescent="0.25">
      <c r="A13">
        <v>12</v>
      </c>
      <c r="B13">
        <v>15</v>
      </c>
      <c r="C13">
        <v>3.1</v>
      </c>
      <c r="D13">
        <v>5.8</v>
      </c>
      <c r="E13">
        <v>96.2</v>
      </c>
      <c r="F13">
        <v>0.5</v>
      </c>
    </row>
    <row r="14" spans="1:6" x14ac:dyDescent="0.25">
      <c r="A14">
        <v>13</v>
      </c>
      <c r="B14">
        <v>17</v>
      </c>
      <c r="C14">
        <v>1.8</v>
      </c>
      <c r="E14">
        <v>65.7</v>
      </c>
      <c r="F14">
        <v>0.7</v>
      </c>
    </row>
    <row r="15" spans="1:6" x14ac:dyDescent="0.25">
      <c r="A15">
        <v>14</v>
      </c>
      <c r="B15">
        <v>14</v>
      </c>
      <c r="C15">
        <v>2.2000000000000002</v>
      </c>
      <c r="D15">
        <v>2</v>
      </c>
      <c r="E15">
        <v>74.900000000000006</v>
      </c>
      <c r="F15">
        <v>1.3</v>
      </c>
    </row>
    <row r="16" spans="1:6" x14ac:dyDescent="0.25">
      <c r="A16">
        <v>15</v>
      </c>
      <c r="B16">
        <v>16</v>
      </c>
      <c r="C16">
        <v>2.4</v>
      </c>
      <c r="D16">
        <v>1.6</v>
      </c>
      <c r="E16">
        <v>76.400000000000006</v>
      </c>
      <c r="F16">
        <v>1.7</v>
      </c>
    </row>
    <row r="17" spans="1:6" x14ac:dyDescent="0.25">
      <c r="A17">
        <v>16</v>
      </c>
      <c r="B17">
        <v>14</v>
      </c>
      <c r="C17">
        <v>3.1</v>
      </c>
      <c r="D17">
        <v>4.0999999999999996</v>
      </c>
      <c r="E17">
        <v>61.9</v>
      </c>
      <c r="F17">
        <v>2</v>
      </c>
    </row>
    <row r="18" spans="1:6" x14ac:dyDescent="0.25">
      <c r="A18">
        <v>17</v>
      </c>
      <c r="B18">
        <v>16</v>
      </c>
      <c r="C18">
        <v>3.7</v>
      </c>
      <c r="D18">
        <v>5.6</v>
      </c>
      <c r="E18">
        <v>88.5</v>
      </c>
      <c r="F18">
        <v>2.2999999999999998</v>
      </c>
    </row>
    <row r="19" spans="1:6" x14ac:dyDescent="0.25">
      <c r="A19">
        <v>18</v>
      </c>
      <c r="B19">
        <v>17</v>
      </c>
      <c r="C19">
        <v>2.6</v>
      </c>
      <c r="D19">
        <v>4.4000000000000004</v>
      </c>
      <c r="E19">
        <v>72.7</v>
      </c>
      <c r="F19">
        <v>1.9</v>
      </c>
    </row>
    <row r="20" spans="1:6" x14ac:dyDescent="0.25">
      <c r="A20">
        <v>19</v>
      </c>
      <c r="B20">
        <v>13</v>
      </c>
      <c r="D20">
        <v>3.5</v>
      </c>
      <c r="E20">
        <v>67.900000000000006</v>
      </c>
      <c r="F20">
        <v>2.6</v>
      </c>
    </row>
    <row r="21" spans="1:6" x14ac:dyDescent="0.25">
      <c r="A21">
        <v>20</v>
      </c>
      <c r="B21">
        <v>16</v>
      </c>
      <c r="C21">
        <v>3.4</v>
      </c>
      <c r="D21">
        <v>4.7</v>
      </c>
      <c r="E21">
        <v>71.400000000000006</v>
      </c>
      <c r="F21">
        <v>1.6</v>
      </c>
    </row>
    <row r="22" spans="1:6" x14ac:dyDescent="0.25">
      <c r="A22">
        <v>21</v>
      </c>
      <c r="B22">
        <v>14</v>
      </c>
      <c r="C22">
        <v>2.7</v>
      </c>
      <c r="D22">
        <v>4.3</v>
      </c>
      <c r="E22">
        <v>77.599999999999994</v>
      </c>
      <c r="F22">
        <v>0.9</v>
      </c>
    </row>
    <row r="23" spans="1:6" x14ac:dyDescent="0.25">
      <c r="A23">
        <v>22</v>
      </c>
      <c r="B23">
        <v>17</v>
      </c>
      <c r="C23">
        <v>1.1000000000000001</v>
      </c>
      <c r="D23">
        <v>5.2</v>
      </c>
      <c r="E23">
        <v>70.099999999999994</v>
      </c>
      <c r="F23">
        <v>1.5</v>
      </c>
    </row>
    <row r="24" spans="1:6" x14ac:dyDescent="0.25">
      <c r="A24">
        <v>23</v>
      </c>
      <c r="B24">
        <v>16</v>
      </c>
      <c r="C24">
        <v>1.5</v>
      </c>
      <c r="D24">
        <v>6</v>
      </c>
      <c r="E24">
        <v>78.8</v>
      </c>
      <c r="F24">
        <v>1.4</v>
      </c>
    </row>
    <row r="25" spans="1:6" x14ac:dyDescent="0.25">
      <c r="A25">
        <v>24</v>
      </c>
      <c r="B25">
        <v>13</v>
      </c>
      <c r="C25">
        <v>3.2</v>
      </c>
      <c r="D25">
        <v>2.6</v>
      </c>
      <c r="E25">
        <v>53.2</v>
      </c>
      <c r="F25">
        <v>0</v>
      </c>
    </row>
    <row r="26" spans="1:6" x14ac:dyDescent="0.25">
      <c r="A26">
        <v>25</v>
      </c>
      <c r="B26">
        <v>13</v>
      </c>
      <c r="C26">
        <v>0.8</v>
      </c>
      <c r="D26">
        <v>0.5</v>
      </c>
      <c r="E26">
        <v>62.5</v>
      </c>
      <c r="F26">
        <v>1.1000000000000001</v>
      </c>
    </row>
    <row r="27" spans="1:6" x14ac:dyDescent="0.25">
      <c r="A27">
        <v>26</v>
      </c>
      <c r="B27">
        <v>15</v>
      </c>
      <c r="C27">
        <v>2.6</v>
      </c>
      <c r="D27">
        <v>3.5</v>
      </c>
      <c r="E27">
        <v>48.6</v>
      </c>
      <c r="F27">
        <v>1.8</v>
      </c>
    </row>
    <row r="28" spans="1:6" x14ac:dyDescent="0.25">
      <c r="A28">
        <v>27</v>
      </c>
      <c r="B28">
        <v>15</v>
      </c>
      <c r="C28">
        <v>3.5</v>
      </c>
      <c r="D28">
        <v>2.5</v>
      </c>
      <c r="E28">
        <v>90</v>
      </c>
      <c r="F28">
        <v>1.2</v>
      </c>
    </row>
    <row r="29" spans="1:6" x14ac:dyDescent="0.25">
      <c r="A29">
        <v>28</v>
      </c>
      <c r="B29">
        <v>14</v>
      </c>
      <c r="C29">
        <v>2.7</v>
      </c>
      <c r="D29">
        <v>5.2</v>
      </c>
      <c r="E29">
        <v>89.8</v>
      </c>
      <c r="F29">
        <v>1</v>
      </c>
    </row>
    <row r="30" spans="1:6" x14ac:dyDescent="0.25">
      <c r="A30">
        <v>29</v>
      </c>
      <c r="B30">
        <v>16</v>
      </c>
      <c r="C30">
        <v>1.9</v>
      </c>
      <c r="D30">
        <v>2.9</v>
      </c>
      <c r="E30">
        <v>76.3</v>
      </c>
      <c r="F30">
        <v>2.2000000000000002</v>
      </c>
    </row>
    <row r="31" spans="1:6" x14ac:dyDescent="0.25">
      <c r="A31">
        <v>30</v>
      </c>
      <c r="B31">
        <v>16</v>
      </c>
      <c r="C31">
        <v>1.7</v>
      </c>
      <c r="D31">
        <v>1.2</v>
      </c>
      <c r="E31">
        <v>59.9</v>
      </c>
      <c r="F31">
        <v>0.8</v>
      </c>
    </row>
    <row r="32" spans="1:6" x14ac:dyDescent="0.25">
      <c r="A32">
        <v>31</v>
      </c>
      <c r="B32">
        <v>15</v>
      </c>
      <c r="C32">
        <v>3.3</v>
      </c>
      <c r="D32">
        <v>3.1</v>
      </c>
      <c r="E32">
        <v>93.9</v>
      </c>
      <c r="F32">
        <v>2.1</v>
      </c>
    </row>
    <row r="33" spans="1:6" x14ac:dyDescent="0.25">
      <c r="A33">
        <v>32</v>
      </c>
      <c r="B33">
        <v>16</v>
      </c>
      <c r="C33">
        <v>3</v>
      </c>
      <c r="D33">
        <v>1.8</v>
      </c>
      <c r="E33">
        <v>64</v>
      </c>
      <c r="F33">
        <v>0.4</v>
      </c>
    </row>
    <row r="34" spans="1:6" x14ac:dyDescent="0.25">
      <c r="A34">
        <v>33</v>
      </c>
      <c r="B34">
        <v>16</v>
      </c>
      <c r="C34">
        <v>2.2000000000000002</v>
      </c>
      <c r="D34">
        <v>6.4</v>
      </c>
      <c r="E34">
        <v>67.900000000000006</v>
      </c>
      <c r="F34">
        <v>3.7</v>
      </c>
    </row>
    <row r="35" spans="1:6" x14ac:dyDescent="0.25">
      <c r="A35">
        <v>34</v>
      </c>
      <c r="B35">
        <v>13</v>
      </c>
      <c r="C35">
        <v>3.6</v>
      </c>
      <c r="D35">
        <v>4.7</v>
      </c>
      <c r="E35">
        <v>71.599999999999994</v>
      </c>
      <c r="F35">
        <v>1.3</v>
      </c>
    </row>
    <row r="36" spans="1:6" x14ac:dyDescent="0.25">
      <c r="A36">
        <v>35</v>
      </c>
      <c r="B36">
        <v>15</v>
      </c>
      <c r="C36">
        <v>3.4</v>
      </c>
      <c r="D36">
        <v>5</v>
      </c>
      <c r="E36">
        <v>74.5</v>
      </c>
      <c r="F36">
        <v>1.2</v>
      </c>
    </row>
    <row r="37" spans="1:6" x14ac:dyDescent="0.25">
      <c r="A37">
        <v>36</v>
      </c>
      <c r="B37">
        <v>17</v>
      </c>
      <c r="C37">
        <v>4.3</v>
      </c>
      <c r="D37">
        <v>4.8</v>
      </c>
      <c r="E37">
        <v>76.400000000000006</v>
      </c>
      <c r="F37">
        <v>2.4</v>
      </c>
    </row>
    <row r="38" spans="1:6" x14ac:dyDescent="0.25">
      <c r="A38">
        <v>37</v>
      </c>
      <c r="B38">
        <v>15</v>
      </c>
      <c r="C38">
        <v>3.1</v>
      </c>
      <c r="D38">
        <v>5.3</v>
      </c>
      <c r="E38">
        <v>76.8</v>
      </c>
      <c r="F38">
        <v>1.2</v>
      </c>
    </row>
    <row r="39" spans="1:6" x14ac:dyDescent="0.25">
      <c r="A39">
        <v>38</v>
      </c>
      <c r="B39">
        <v>17</v>
      </c>
      <c r="C39">
        <v>2.2999999999999998</v>
      </c>
      <c r="D39">
        <v>5.7</v>
      </c>
      <c r="F39">
        <v>2.7</v>
      </c>
    </row>
    <row r="40" spans="1:6" x14ac:dyDescent="0.25">
      <c r="A40">
        <v>39</v>
      </c>
      <c r="B40">
        <v>13</v>
      </c>
      <c r="C40">
        <v>2.4</v>
      </c>
      <c r="D40">
        <v>3.2</v>
      </c>
      <c r="E40">
        <v>76.7</v>
      </c>
      <c r="F40">
        <v>1.8</v>
      </c>
    </row>
    <row r="41" spans="1:6" x14ac:dyDescent="0.25">
      <c r="A41">
        <v>40</v>
      </c>
      <c r="B41">
        <v>14</v>
      </c>
      <c r="C41">
        <v>0.6</v>
      </c>
      <c r="D41">
        <v>1.9</v>
      </c>
      <c r="F41">
        <v>1.4</v>
      </c>
    </row>
    <row r="42" spans="1:6" x14ac:dyDescent="0.25">
      <c r="A42">
        <v>41</v>
      </c>
      <c r="B42">
        <v>16</v>
      </c>
      <c r="C42">
        <v>2.7</v>
      </c>
      <c r="D42">
        <v>2.7</v>
      </c>
      <c r="E42">
        <v>75.8</v>
      </c>
      <c r="F42">
        <v>1.3</v>
      </c>
    </row>
    <row r="43" spans="1:6" x14ac:dyDescent="0.25">
      <c r="A43">
        <v>42</v>
      </c>
      <c r="B43">
        <v>13</v>
      </c>
      <c r="D43">
        <v>3.9</v>
      </c>
      <c r="E43">
        <v>75</v>
      </c>
      <c r="F43">
        <v>2.5</v>
      </c>
    </row>
    <row r="44" spans="1:6" x14ac:dyDescent="0.25">
      <c r="A44">
        <v>43</v>
      </c>
      <c r="B44">
        <v>16</v>
      </c>
      <c r="C44">
        <v>1.2</v>
      </c>
      <c r="D44">
        <v>0.2</v>
      </c>
      <c r="E44">
        <v>77.599999999999994</v>
      </c>
      <c r="F44">
        <v>1.7</v>
      </c>
    </row>
    <row r="45" spans="1:6" x14ac:dyDescent="0.25">
      <c r="A45">
        <v>44</v>
      </c>
      <c r="B45">
        <v>14</v>
      </c>
      <c r="C45">
        <v>2.5</v>
      </c>
      <c r="D45">
        <v>5.7</v>
      </c>
      <c r="E45">
        <v>76.400000000000006</v>
      </c>
      <c r="F45">
        <v>1.8</v>
      </c>
    </row>
    <row r="46" spans="1:6" x14ac:dyDescent="0.25">
      <c r="A46">
        <v>45</v>
      </c>
      <c r="B46">
        <v>14</v>
      </c>
      <c r="C46">
        <v>3.8</v>
      </c>
      <c r="D46">
        <v>1.2</v>
      </c>
      <c r="E46">
        <v>65.599999999999994</v>
      </c>
      <c r="F46">
        <v>1.9</v>
      </c>
    </row>
    <row r="47" spans="1:6" x14ac:dyDescent="0.25">
      <c r="A47">
        <v>46</v>
      </c>
      <c r="B47">
        <v>13</v>
      </c>
      <c r="C47">
        <v>1.8</v>
      </c>
      <c r="D47">
        <v>4.9000000000000004</v>
      </c>
      <c r="E47">
        <v>74.599999999999994</v>
      </c>
      <c r="F47">
        <v>1.6</v>
      </c>
    </row>
    <row r="48" spans="1:6" x14ac:dyDescent="0.25">
      <c r="A48">
        <v>47</v>
      </c>
      <c r="B48">
        <v>14</v>
      </c>
      <c r="C48">
        <v>1.5</v>
      </c>
      <c r="D48">
        <v>3.7</v>
      </c>
      <c r="E48">
        <v>76.5</v>
      </c>
      <c r="F48">
        <v>1.9</v>
      </c>
    </row>
    <row r="49" spans="1:6" x14ac:dyDescent="0.25">
      <c r="A49">
        <v>48</v>
      </c>
      <c r="B49">
        <v>17</v>
      </c>
      <c r="C49">
        <v>3.6</v>
      </c>
      <c r="D49">
        <v>4.4000000000000004</v>
      </c>
      <c r="E49">
        <v>57.1</v>
      </c>
      <c r="F49">
        <v>1.4</v>
      </c>
    </row>
    <row r="50" spans="1:6" x14ac:dyDescent="0.25">
      <c r="A50">
        <v>49</v>
      </c>
      <c r="B50">
        <v>14</v>
      </c>
      <c r="C50">
        <v>3.1</v>
      </c>
      <c r="D50">
        <v>3.3</v>
      </c>
      <c r="E50">
        <v>67.3</v>
      </c>
      <c r="F50">
        <v>1.5</v>
      </c>
    </row>
    <row r="51" spans="1:6" x14ac:dyDescent="0.25">
      <c r="A51">
        <v>50</v>
      </c>
      <c r="B51">
        <v>16</v>
      </c>
      <c r="C51">
        <v>5.6</v>
      </c>
      <c r="D51">
        <v>4.3</v>
      </c>
      <c r="E51">
        <v>76.099999999999994</v>
      </c>
      <c r="F51">
        <v>0.6</v>
      </c>
    </row>
    <row r="52" spans="1:6" x14ac:dyDescent="0.25">
      <c r="A52">
        <v>51</v>
      </c>
      <c r="B52">
        <v>16</v>
      </c>
      <c r="C52">
        <v>1.2</v>
      </c>
      <c r="D52">
        <v>3.3</v>
      </c>
      <c r="E52">
        <v>87.1</v>
      </c>
      <c r="F52">
        <v>1.7</v>
      </c>
    </row>
    <row r="53" spans="1:6" x14ac:dyDescent="0.25">
      <c r="A53">
        <v>52</v>
      </c>
      <c r="B53">
        <v>16</v>
      </c>
      <c r="C53">
        <v>3.2</v>
      </c>
      <c r="D53">
        <v>3.2</v>
      </c>
      <c r="E53">
        <v>78.2</v>
      </c>
      <c r="F53">
        <v>0.1</v>
      </c>
    </row>
    <row r="54" spans="1:6" x14ac:dyDescent="0.25">
      <c r="A54">
        <v>53</v>
      </c>
      <c r="B54">
        <v>16</v>
      </c>
      <c r="C54">
        <v>2.8</v>
      </c>
      <c r="D54">
        <v>2.7</v>
      </c>
      <c r="E54">
        <v>87.7</v>
      </c>
      <c r="F54">
        <v>1.7</v>
      </c>
    </row>
    <row r="55" spans="1:6" x14ac:dyDescent="0.25">
      <c r="A55">
        <v>54</v>
      </c>
      <c r="B55">
        <v>17</v>
      </c>
      <c r="C55">
        <v>2.6</v>
      </c>
      <c r="E55">
        <v>66</v>
      </c>
      <c r="F55">
        <v>1.3</v>
      </c>
    </row>
    <row r="56" spans="1:6" x14ac:dyDescent="0.25">
      <c r="A56">
        <v>55</v>
      </c>
      <c r="B56">
        <v>15</v>
      </c>
      <c r="C56">
        <v>3.4</v>
      </c>
      <c r="D56">
        <v>4.5999999999999996</v>
      </c>
      <c r="E56">
        <v>72.5</v>
      </c>
      <c r="F56">
        <v>1.8</v>
      </c>
    </row>
    <row r="57" spans="1:6" x14ac:dyDescent="0.25">
      <c r="A57">
        <v>56</v>
      </c>
      <c r="B57">
        <v>13</v>
      </c>
      <c r="C57">
        <v>2.5</v>
      </c>
      <c r="D57">
        <v>4.3</v>
      </c>
      <c r="E57">
        <v>78.099999999999994</v>
      </c>
      <c r="F57">
        <v>0.7</v>
      </c>
    </row>
    <row r="58" spans="1:6" x14ac:dyDescent="0.25">
      <c r="A58">
        <v>57</v>
      </c>
      <c r="B58">
        <v>16</v>
      </c>
      <c r="C58">
        <v>0.6</v>
      </c>
      <c r="D58">
        <v>2.7</v>
      </c>
      <c r="E58">
        <v>46.7</v>
      </c>
      <c r="F58">
        <v>0</v>
      </c>
    </row>
    <row r="59" spans="1:6" x14ac:dyDescent="0.25">
      <c r="A59">
        <v>58</v>
      </c>
      <c r="B59">
        <v>14</v>
      </c>
      <c r="C59">
        <v>1.7</v>
      </c>
      <c r="D59">
        <v>3.6</v>
      </c>
      <c r="F59">
        <v>1.2</v>
      </c>
    </row>
    <row r="60" spans="1:6" x14ac:dyDescent="0.25">
      <c r="A60">
        <v>59</v>
      </c>
      <c r="B60">
        <v>16</v>
      </c>
      <c r="C60">
        <v>3.9</v>
      </c>
      <c r="D60">
        <v>2.5</v>
      </c>
      <c r="E60">
        <v>51.4</v>
      </c>
      <c r="F60">
        <v>0.7</v>
      </c>
    </row>
    <row r="61" spans="1:6" x14ac:dyDescent="0.25">
      <c r="A61">
        <v>60</v>
      </c>
      <c r="B61">
        <v>14</v>
      </c>
      <c r="C61">
        <v>3.7</v>
      </c>
      <c r="D61">
        <v>3.3</v>
      </c>
      <c r="E61">
        <v>80</v>
      </c>
      <c r="F61">
        <v>0.1</v>
      </c>
    </row>
    <row r="62" spans="1:6" x14ac:dyDescent="0.25">
      <c r="A62">
        <v>61</v>
      </c>
      <c r="B62">
        <v>14</v>
      </c>
      <c r="C62">
        <v>2.1</v>
      </c>
      <c r="D62">
        <v>2.2000000000000002</v>
      </c>
      <c r="E62">
        <v>76.900000000000006</v>
      </c>
      <c r="F62">
        <v>2.1</v>
      </c>
    </row>
    <row r="63" spans="1:6" x14ac:dyDescent="0.25">
      <c r="A63">
        <v>62</v>
      </c>
      <c r="B63">
        <v>16</v>
      </c>
      <c r="C63">
        <v>3</v>
      </c>
      <c r="D63">
        <v>6.4</v>
      </c>
      <c r="E63">
        <v>46.6</v>
      </c>
      <c r="F63">
        <v>2.8</v>
      </c>
    </row>
    <row r="64" spans="1:6" x14ac:dyDescent="0.25">
      <c r="A64">
        <v>63</v>
      </c>
      <c r="B64">
        <v>17</v>
      </c>
      <c r="C64">
        <v>5.3</v>
      </c>
      <c r="E64">
        <v>47.1</v>
      </c>
      <c r="F64">
        <v>0.9</v>
      </c>
    </row>
    <row r="65" spans="1:6" x14ac:dyDescent="0.25">
      <c r="A65">
        <v>64</v>
      </c>
      <c r="B65">
        <v>14</v>
      </c>
      <c r="C65">
        <v>2.5</v>
      </c>
      <c r="D65">
        <v>2.7</v>
      </c>
      <c r="F65">
        <v>1.4</v>
      </c>
    </row>
    <row r="66" spans="1:6" x14ac:dyDescent="0.25">
      <c r="A66">
        <v>65</v>
      </c>
      <c r="B66">
        <v>14</v>
      </c>
      <c r="C66">
        <v>2.5</v>
      </c>
      <c r="D66">
        <v>2</v>
      </c>
      <c r="E66">
        <v>82.1</v>
      </c>
      <c r="F66">
        <v>1.3</v>
      </c>
    </row>
    <row r="67" spans="1:6" x14ac:dyDescent="0.25">
      <c r="A67">
        <v>66</v>
      </c>
      <c r="B67">
        <v>16</v>
      </c>
      <c r="C67">
        <v>2.7</v>
      </c>
      <c r="D67">
        <v>2.8</v>
      </c>
      <c r="E67">
        <v>61.2</v>
      </c>
      <c r="F67">
        <v>1</v>
      </c>
    </row>
    <row r="68" spans="1:6" x14ac:dyDescent="0.25">
      <c r="A68">
        <v>67</v>
      </c>
      <c r="B68">
        <v>14</v>
      </c>
      <c r="C68">
        <v>3.1</v>
      </c>
      <c r="D68">
        <v>3.3</v>
      </c>
      <c r="E68">
        <v>61.2</v>
      </c>
      <c r="F68">
        <v>2</v>
      </c>
    </row>
    <row r="69" spans="1:6" x14ac:dyDescent="0.25">
      <c r="A69">
        <v>68</v>
      </c>
      <c r="B69">
        <v>14</v>
      </c>
      <c r="C69">
        <v>2.2000000000000002</v>
      </c>
      <c r="D69">
        <v>3.9</v>
      </c>
      <c r="E69">
        <v>75.099999999999994</v>
      </c>
      <c r="F69">
        <v>2.2999999999999998</v>
      </c>
    </row>
    <row r="70" spans="1:6" x14ac:dyDescent="0.25">
      <c r="A70">
        <v>69</v>
      </c>
      <c r="B70">
        <v>16</v>
      </c>
      <c r="C70">
        <v>3.1</v>
      </c>
      <c r="D70">
        <v>3</v>
      </c>
      <c r="E70">
        <v>69.900000000000006</v>
      </c>
      <c r="F70">
        <v>0.8</v>
      </c>
    </row>
    <row r="71" spans="1:6" x14ac:dyDescent="0.25">
      <c r="A71">
        <v>70</v>
      </c>
      <c r="B71">
        <v>16</v>
      </c>
      <c r="C71">
        <v>0.6</v>
      </c>
      <c r="D71">
        <v>1.6</v>
      </c>
      <c r="E71">
        <v>80.5</v>
      </c>
      <c r="F71">
        <v>1.5</v>
      </c>
    </row>
    <row r="72" spans="1:6" x14ac:dyDescent="0.25">
      <c r="A72">
        <v>71</v>
      </c>
      <c r="B72">
        <v>13</v>
      </c>
      <c r="C72">
        <v>2.8</v>
      </c>
      <c r="D72">
        <v>1.7</v>
      </c>
      <c r="E72">
        <v>74.8</v>
      </c>
      <c r="F72">
        <v>2.5</v>
      </c>
    </row>
    <row r="73" spans="1:6" x14ac:dyDescent="0.25">
      <c r="A73">
        <v>72</v>
      </c>
      <c r="B73">
        <v>17</v>
      </c>
      <c r="C73">
        <v>2.6</v>
      </c>
      <c r="D73">
        <v>5</v>
      </c>
      <c r="E73">
        <v>85.8</v>
      </c>
      <c r="F73">
        <v>2.1</v>
      </c>
    </row>
    <row r="74" spans="1:6" x14ac:dyDescent="0.25">
      <c r="A74">
        <v>73</v>
      </c>
      <c r="B74">
        <v>17</v>
      </c>
      <c r="C74">
        <v>2.2999999999999998</v>
      </c>
      <c r="D74">
        <v>3.8</v>
      </c>
      <c r="E74">
        <v>79.7</v>
      </c>
      <c r="F74">
        <v>2.2000000000000002</v>
      </c>
    </row>
    <row r="75" spans="1:6" x14ac:dyDescent="0.25">
      <c r="A75">
        <v>74</v>
      </c>
      <c r="B75">
        <v>14</v>
      </c>
      <c r="C75">
        <v>2</v>
      </c>
      <c r="D75">
        <v>5</v>
      </c>
      <c r="E75">
        <v>77.2</v>
      </c>
      <c r="F75">
        <v>2.6</v>
      </c>
    </row>
    <row r="76" spans="1:6" x14ac:dyDescent="0.25">
      <c r="A76">
        <v>75</v>
      </c>
      <c r="B76">
        <v>17</v>
      </c>
      <c r="C76">
        <v>1.9</v>
      </c>
      <c r="D76">
        <v>5.2</v>
      </c>
      <c r="E76">
        <v>66.5</v>
      </c>
      <c r="F76">
        <v>2.6</v>
      </c>
    </row>
    <row r="77" spans="1:6" x14ac:dyDescent="0.25">
      <c r="A77">
        <v>76</v>
      </c>
      <c r="B77">
        <v>14</v>
      </c>
      <c r="C77">
        <v>1.7</v>
      </c>
      <c r="D77">
        <v>4.2</v>
      </c>
      <c r="E77">
        <v>65.7</v>
      </c>
      <c r="F77">
        <v>2.2999999999999998</v>
      </c>
    </row>
    <row r="78" spans="1:6" x14ac:dyDescent="0.25">
      <c r="A78">
        <v>77</v>
      </c>
      <c r="B78">
        <v>13</v>
      </c>
      <c r="C78">
        <v>0.2</v>
      </c>
      <c r="D78">
        <v>2.2000000000000002</v>
      </c>
      <c r="E78">
        <v>69.5</v>
      </c>
      <c r="F78">
        <v>1.6</v>
      </c>
    </row>
    <row r="79" spans="1:6" x14ac:dyDescent="0.25">
      <c r="A79">
        <v>78</v>
      </c>
      <c r="B79">
        <v>16</v>
      </c>
      <c r="C79">
        <v>2.2000000000000002</v>
      </c>
      <c r="D79">
        <v>4.3</v>
      </c>
      <c r="E79">
        <v>88.4</v>
      </c>
      <c r="F79">
        <v>1.2</v>
      </c>
    </row>
    <row r="80" spans="1:6" x14ac:dyDescent="0.25">
      <c r="A80">
        <v>79</v>
      </c>
      <c r="B80">
        <v>16</v>
      </c>
      <c r="C80">
        <v>3.6</v>
      </c>
      <c r="D80">
        <v>6.1</v>
      </c>
      <c r="E80">
        <v>65.900000000000006</v>
      </c>
      <c r="F80">
        <v>1.6</v>
      </c>
    </row>
    <row r="81" spans="1:6" x14ac:dyDescent="0.25">
      <c r="A81">
        <v>80</v>
      </c>
      <c r="B81">
        <v>16</v>
      </c>
      <c r="C81">
        <v>2.2000000000000002</v>
      </c>
      <c r="D81">
        <v>3.3</v>
      </c>
      <c r="E81">
        <v>72.599999999999994</v>
      </c>
      <c r="F81">
        <v>1.1000000000000001</v>
      </c>
    </row>
    <row r="82" spans="1:6" x14ac:dyDescent="0.25">
      <c r="A82">
        <v>81</v>
      </c>
      <c r="B82">
        <v>17</v>
      </c>
      <c r="C82">
        <v>3.1</v>
      </c>
      <c r="D82">
        <v>4.5</v>
      </c>
      <c r="E82">
        <v>47.6</v>
      </c>
      <c r="F82">
        <v>0</v>
      </c>
    </row>
    <row r="83" spans="1:6" x14ac:dyDescent="0.25">
      <c r="A83">
        <v>82</v>
      </c>
      <c r="B83">
        <v>13</v>
      </c>
      <c r="C83">
        <v>1.4</v>
      </c>
      <c r="D83">
        <v>4</v>
      </c>
      <c r="E83">
        <v>76.8</v>
      </c>
      <c r="F83">
        <v>1.3</v>
      </c>
    </row>
    <row r="84" spans="1:6" x14ac:dyDescent="0.25">
      <c r="A84">
        <v>83</v>
      </c>
      <c r="B84">
        <v>17</v>
      </c>
      <c r="C84">
        <v>1.2</v>
      </c>
      <c r="D84">
        <v>6.1</v>
      </c>
      <c r="E84">
        <v>92.6</v>
      </c>
      <c r="F84">
        <v>1.8</v>
      </c>
    </row>
    <row r="85" spans="1:6" x14ac:dyDescent="0.25">
      <c r="A85">
        <v>84</v>
      </c>
      <c r="B85">
        <v>17</v>
      </c>
      <c r="C85">
        <v>1.7</v>
      </c>
      <c r="D85">
        <v>3</v>
      </c>
      <c r="E85">
        <v>60.7</v>
      </c>
      <c r="F85">
        <v>1</v>
      </c>
    </row>
    <row r="86" spans="1:6" x14ac:dyDescent="0.25">
      <c r="A86">
        <v>85</v>
      </c>
      <c r="B86">
        <v>13</v>
      </c>
      <c r="C86">
        <v>1.5</v>
      </c>
      <c r="D86">
        <v>5.7</v>
      </c>
      <c r="E86">
        <v>100</v>
      </c>
      <c r="F86">
        <v>1.3</v>
      </c>
    </row>
    <row r="87" spans="1:6" x14ac:dyDescent="0.25">
      <c r="A87">
        <v>86</v>
      </c>
      <c r="B87">
        <v>13</v>
      </c>
      <c r="C87">
        <v>1.3</v>
      </c>
      <c r="D87">
        <v>3.4</v>
      </c>
      <c r="E87">
        <v>71.8</v>
      </c>
      <c r="F87">
        <v>1.4</v>
      </c>
    </row>
    <row r="88" spans="1:6" x14ac:dyDescent="0.25">
      <c r="A88">
        <v>87</v>
      </c>
      <c r="B88">
        <v>13</v>
      </c>
      <c r="C88">
        <v>2.9</v>
      </c>
      <c r="D88">
        <v>3</v>
      </c>
      <c r="E88">
        <v>44.3</v>
      </c>
      <c r="F88">
        <v>2.6</v>
      </c>
    </row>
    <row r="89" spans="1:6" x14ac:dyDescent="0.25">
      <c r="A89">
        <v>88</v>
      </c>
      <c r="B89">
        <v>13</v>
      </c>
      <c r="C89">
        <v>4.3</v>
      </c>
      <c r="D89">
        <v>4.2</v>
      </c>
      <c r="E89">
        <v>66.099999999999994</v>
      </c>
      <c r="F89">
        <v>1.2</v>
      </c>
    </row>
    <row r="90" spans="1:6" x14ac:dyDescent="0.25">
      <c r="A90">
        <v>89</v>
      </c>
      <c r="B90">
        <v>16</v>
      </c>
      <c r="C90">
        <v>1.8</v>
      </c>
      <c r="D90">
        <v>4.5</v>
      </c>
      <c r="E90">
        <v>83.3</v>
      </c>
      <c r="F90">
        <v>2.6</v>
      </c>
    </row>
    <row r="91" spans="1:6" x14ac:dyDescent="0.25">
      <c r="A91">
        <v>90</v>
      </c>
      <c r="B91">
        <v>15</v>
      </c>
      <c r="D91">
        <v>6.9</v>
      </c>
      <c r="E91">
        <v>90</v>
      </c>
      <c r="F91">
        <v>0</v>
      </c>
    </row>
    <row r="92" spans="1:6" x14ac:dyDescent="0.25">
      <c r="A92">
        <v>91</v>
      </c>
      <c r="B92">
        <v>15</v>
      </c>
      <c r="C92">
        <v>3.2</v>
      </c>
      <c r="D92">
        <v>4.5</v>
      </c>
      <c r="E92">
        <v>77.2</v>
      </c>
      <c r="F92">
        <v>2.6</v>
      </c>
    </row>
    <row r="93" spans="1:6" x14ac:dyDescent="0.25">
      <c r="A93">
        <v>92</v>
      </c>
      <c r="B93">
        <v>13</v>
      </c>
      <c r="C93">
        <v>1.1000000000000001</v>
      </c>
      <c r="D93">
        <v>4.3</v>
      </c>
      <c r="E93">
        <v>85.7</v>
      </c>
      <c r="F93">
        <v>2.5</v>
      </c>
    </row>
    <row r="94" spans="1:6" x14ac:dyDescent="0.25">
      <c r="A94">
        <v>93</v>
      </c>
      <c r="B94">
        <v>15</v>
      </c>
      <c r="C94">
        <v>1.3</v>
      </c>
      <c r="D94">
        <v>6.4</v>
      </c>
      <c r="E94">
        <v>58.2</v>
      </c>
      <c r="F94">
        <v>2.2000000000000002</v>
      </c>
    </row>
    <row r="95" spans="1:6" x14ac:dyDescent="0.25">
      <c r="A95">
        <v>94</v>
      </c>
      <c r="B95">
        <v>15</v>
      </c>
      <c r="C95">
        <v>3</v>
      </c>
      <c r="D95">
        <v>4.9000000000000004</v>
      </c>
      <c r="E95">
        <v>63.2</v>
      </c>
      <c r="F95">
        <v>0</v>
      </c>
    </row>
    <row r="96" spans="1:6" x14ac:dyDescent="0.25">
      <c r="A96">
        <v>95</v>
      </c>
      <c r="B96">
        <v>13</v>
      </c>
      <c r="C96">
        <v>2.2999999999999998</v>
      </c>
      <c r="D96">
        <v>3</v>
      </c>
      <c r="E96">
        <v>53.2</v>
      </c>
      <c r="F96">
        <v>2.2999999999999998</v>
      </c>
    </row>
    <row r="97" spans="1:6" x14ac:dyDescent="0.25">
      <c r="A97">
        <v>96</v>
      </c>
      <c r="B97">
        <v>15</v>
      </c>
      <c r="C97">
        <v>1.8</v>
      </c>
      <c r="D97">
        <v>6</v>
      </c>
      <c r="E97">
        <v>63.9</v>
      </c>
      <c r="F97">
        <v>1.5</v>
      </c>
    </row>
    <row r="98" spans="1:6" x14ac:dyDescent="0.25">
      <c r="A98">
        <v>97</v>
      </c>
      <c r="B98">
        <v>17</v>
      </c>
      <c r="C98">
        <v>2.6</v>
      </c>
      <c r="D98">
        <v>2.9</v>
      </c>
      <c r="E98">
        <v>77.599999999999994</v>
      </c>
      <c r="F98">
        <v>0</v>
      </c>
    </row>
    <row r="99" spans="1:6" x14ac:dyDescent="0.25">
      <c r="A99">
        <v>98</v>
      </c>
      <c r="B99">
        <v>14</v>
      </c>
      <c r="C99">
        <v>2.1</v>
      </c>
      <c r="D99">
        <v>3</v>
      </c>
      <c r="E99">
        <v>72.099999999999994</v>
      </c>
      <c r="F99">
        <v>2.5</v>
      </c>
    </row>
    <row r="100" spans="1:6" x14ac:dyDescent="0.25">
      <c r="A100">
        <v>99</v>
      </c>
      <c r="B100">
        <v>14</v>
      </c>
      <c r="C100">
        <v>4.4000000000000004</v>
      </c>
      <c r="D100">
        <v>2.7</v>
      </c>
      <c r="E100">
        <v>78.7</v>
      </c>
      <c r="F100">
        <v>2.7</v>
      </c>
    </row>
    <row r="101" spans="1:6" x14ac:dyDescent="0.25">
      <c r="A101">
        <v>100</v>
      </c>
      <c r="B101">
        <v>13</v>
      </c>
      <c r="C101">
        <v>1.8</v>
      </c>
      <c r="D101">
        <v>2.6</v>
      </c>
      <c r="E101">
        <v>60.6</v>
      </c>
      <c r="F101">
        <v>0</v>
      </c>
    </row>
    <row r="102" spans="1:6" x14ac:dyDescent="0.25">
      <c r="A102">
        <v>101</v>
      </c>
      <c r="B102">
        <v>16</v>
      </c>
      <c r="C102">
        <v>1.6</v>
      </c>
      <c r="D102">
        <v>4.5</v>
      </c>
      <c r="E102">
        <v>61.2</v>
      </c>
      <c r="F102">
        <v>1.6</v>
      </c>
    </row>
    <row r="103" spans="1:6" x14ac:dyDescent="0.25">
      <c r="A103">
        <v>102</v>
      </c>
      <c r="B103">
        <v>13</v>
      </c>
      <c r="C103">
        <v>2</v>
      </c>
      <c r="D103">
        <v>3.6</v>
      </c>
      <c r="E103">
        <v>72</v>
      </c>
      <c r="F103">
        <v>2.6</v>
      </c>
    </row>
    <row r="104" spans="1:6" x14ac:dyDescent="0.25">
      <c r="A104">
        <v>103</v>
      </c>
      <c r="B104">
        <v>16</v>
      </c>
      <c r="C104">
        <v>2.1</v>
      </c>
      <c r="D104">
        <v>0</v>
      </c>
      <c r="E104">
        <v>64</v>
      </c>
      <c r="F104">
        <v>2.5</v>
      </c>
    </row>
    <row r="105" spans="1:6" x14ac:dyDescent="0.25">
      <c r="A105">
        <v>104</v>
      </c>
      <c r="B105">
        <v>14</v>
      </c>
      <c r="D105">
        <v>3.6</v>
      </c>
      <c r="E105">
        <v>83</v>
      </c>
      <c r="F105">
        <v>2.2000000000000002</v>
      </c>
    </row>
    <row r="106" spans="1:6" x14ac:dyDescent="0.25">
      <c r="A106">
        <v>105</v>
      </c>
      <c r="B106">
        <v>13</v>
      </c>
      <c r="C106">
        <v>0.5</v>
      </c>
      <c r="D106">
        <v>3.2</v>
      </c>
      <c r="E106">
        <v>63.7</v>
      </c>
      <c r="F106">
        <v>0</v>
      </c>
    </row>
    <row r="107" spans="1:6" x14ac:dyDescent="0.25">
      <c r="A107">
        <v>106</v>
      </c>
      <c r="B107">
        <v>17</v>
      </c>
      <c r="C107">
        <v>2.9</v>
      </c>
      <c r="D107">
        <v>5.3</v>
      </c>
      <c r="E107">
        <v>65</v>
      </c>
      <c r="F107">
        <v>2.1</v>
      </c>
    </row>
    <row r="108" spans="1:6" x14ac:dyDescent="0.25">
      <c r="A108">
        <v>107</v>
      </c>
      <c r="B108">
        <v>15</v>
      </c>
      <c r="C108">
        <v>2</v>
      </c>
      <c r="D108">
        <v>3.2</v>
      </c>
      <c r="E108">
        <v>74.2</v>
      </c>
      <c r="F108">
        <v>1.3</v>
      </c>
    </row>
    <row r="109" spans="1:6" x14ac:dyDescent="0.25">
      <c r="A109">
        <v>108</v>
      </c>
      <c r="B109">
        <v>16</v>
      </c>
      <c r="C109">
        <v>3.3</v>
      </c>
      <c r="D109">
        <v>7.8</v>
      </c>
      <c r="E109">
        <v>66.099999999999994</v>
      </c>
      <c r="F109">
        <v>2.2999999999999998</v>
      </c>
    </row>
    <row r="110" spans="1:6" x14ac:dyDescent="0.25">
      <c r="A110">
        <v>109</v>
      </c>
      <c r="B110">
        <v>15</v>
      </c>
      <c r="C110">
        <v>2.5</v>
      </c>
      <c r="D110">
        <v>6.1</v>
      </c>
      <c r="E110">
        <v>57.7</v>
      </c>
      <c r="F110">
        <v>1.7</v>
      </c>
    </row>
    <row r="111" spans="1:6" x14ac:dyDescent="0.25">
      <c r="A111">
        <v>110</v>
      </c>
      <c r="B111">
        <v>15</v>
      </c>
      <c r="C111">
        <v>3</v>
      </c>
      <c r="D111">
        <v>3.4</v>
      </c>
      <c r="E111">
        <v>59</v>
      </c>
      <c r="F111">
        <v>1.5</v>
      </c>
    </row>
    <row r="112" spans="1:6" x14ac:dyDescent="0.25">
      <c r="A112">
        <v>111</v>
      </c>
      <c r="B112">
        <v>13</v>
      </c>
      <c r="C112">
        <v>2.1</v>
      </c>
      <c r="D112">
        <v>5.7</v>
      </c>
      <c r="E112">
        <v>75.400000000000006</v>
      </c>
      <c r="F112">
        <v>2</v>
      </c>
    </row>
    <row r="113" spans="1:6" x14ac:dyDescent="0.25">
      <c r="A113">
        <v>112</v>
      </c>
      <c r="B113">
        <v>15</v>
      </c>
      <c r="C113">
        <v>2.9</v>
      </c>
      <c r="E113">
        <v>56.4</v>
      </c>
      <c r="F113">
        <v>1.4</v>
      </c>
    </row>
    <row r="114" spans="1:6" x14ac:dyDescent="0.25">
      <c r="A114">
        <v>113</v>
      </c>
      <c r="B114">
        <v>17</v>
      </c>
      <c r="C114">
        <v>4.2</v>
      </c>
      <c r="D114">
        <v>4.4000000000000004</v>
      </c>
      <c r="E114">
        <v>84</v>
      </c>
      <c r="F114">
        <v>1.5</v>
      </c>
    </row>
    <row r="115" spans="1:6" x14ac:dyDescent="0.25">
      <c r="A115">
        <v>114</v>
      </c>
      <c r="B115">
        <v>15</v>
      </c>
      <c r="C115">
        <v>1.8</v>
      </c>
      <c r="D115">
        <v>5.2</v>
      </c>
      <c r="E115">
        <v>63.1</v>
      </c>
      <c r="F115">
        <v>1.1000000000000001</v>
      </c>
    </row>
    <row r="116" spans="1:6" x14ac:dyDescent="0.25">
      <c r="A116">
        <v>115</v>
      </c>
      <c r="B116">
        <v>13</v>
      </c>
      <c r="C116">
        <v>2.4</v>
      </c>
      <c r="D116">
        <v>4.0999999999999996</v>
      </c>
      <c r="E116">
        <v>76.2</v>
      </c>
      <c r="F116">
        <v>0.2</v>
      </c>
    </row>
    <row r="117" spans="1:6" x14ac:dyDescent="0.25">
      <c r="A117">
        <v>116</v>
      </c>
      <c r="B117">
        <v>17</v>
      </c>
      <c r="C117">
        <v>2</v>
      </c>
      <c r="D117">
        <v>4.4000000000000004</v>
      </c>
      <c r="E117">
        <v>63.7</v>
      </c>
      <c r="F117">
        <v>2</v>
      </c>
    </row>
    <row r="118" spans="1:6" x14ac:dyDescent="0.25">
      <c r="A118">
        <v>117</v>
      </c>
      <c r="B118">
        <v>14</v>
      </c>
      <c r="C118">
        <v>4.0999999999999996</v>
      </c>
      <c r="D118">
        <v>5.2</v>
      </c>
      <c r="E118">
        <v>60.8</v>
      </c>
      <c r="F118">
        <v>0.9</v>
      </c>
    </row>
    <row r="119" spans="1:6" x14ac:dyDescent="0.25">
      <c r="A119">
        <v>118</v>
      </c>
      <c r="B119">
        <v>15</v>
      </c>
      <c r="C119">
        <v>2.1</v>
      </c>
      <c r="D119">
        <v>7.1</v>
      </c>
      <c r="E119">
        <v>72.5</v>
      </c>
      <c r="F119">
        <v>1.3</v>
      </c>
    </row>
    <row r="120" spans="1:6" x14ac:dyDescent="0.25">
      <c r="A120">
        <v>119</v>
      </c>
      <c r="B120">
        <v>13</v>
      </c>
      <c r="C120">
        <v>1.8</v>
      </c>
      <c r="D120">
        <v>4.4000000000000004</v>
      </c>
      <c r="E120">
        <v>80.5</v>
      </c>
      <c r="F120">
        <v>1.7</v>
      </c>
    </row>
    <row r="121" spans="1:6" x14ac:dyDescent="0.25">
      <c r="A121">
        <v>120</v>
      </c>
      <c r="B121">
        <v>14</v>
      </c>
      <c r="C121">
        <v>1.9</v>
      </c>
      <c r="D121">
        <v>3.3</v>
      </c>
      <c r="E121">
        <v>67.5</v>
      </c>
      <c r="F121">
        <v>0</v>
      </c>
    </row>
    <row r="122" spans="1:6" x14ac:dyDescent="0.25">
      <c r="A122">
        <v>121</v>
      </c>
      <c r="B122">
        <v>14</v>
      </c>
      <c r="C122">
        <v>2.4</v>
      </c>
      <c r="D122">
        <v>1</v>
      </c>
      <c r="E122">
        <v>69.3</v>
      </c>
      <c r="F122">
        <v>0</v>
      </c>
    </row>
    <row r="123" spans="1:6" x14ac:dyDescent="0.25">
      <c r="A123">
        <v>122</v>
      </c>
      <c r="B123">
        <v>16</v>
      </c>
      <c r="C123">
        <v>1.7</v>
      </c>
      <c r="D123">
        <v>6.9</v>
      </c>
      <c r="E123">
        <v>78.099999999999994</v>
      </c>
      <c r="F123">
        <v>1.3</v>
      </c>
    </row>
    <row r="124" spans="1:6" x14ac:dyDescent="0.25">
      <c r="A124">
        <v>123</v>
      </c>
      <c r="B124">
        <v>17</v>
      </c>
      <c r="C124">
        <v>2.1</v>
      </c>
      <c r="D124">
        <v>3.6</v>
      </c>
      <c r="E124">
        <v>78.400000000000006</v>
      </c>
      <c r="F124">
        <v>1.9</v>
      </c>
    </row>
    <row r="125" spans="1:6" x14ac:dyDescent="0.25">
      <c r="A125">
        <v>124</v>
      </c>
      <c r="B125">
        <v>15</v>
      </c>
      <c r="C125">
        <v>2.7</v>
      </c>
      <c r="D125">
        <v>4.8</v>
      </c>
      <c r="E125">
        <v>69.599999999999994</v>
      </c>
      <c r="F125">
        <v>2.1</v>
      </c>
    </row>
    <row r="126" spans="1:6" x14ac:dyDescent="0.25">
      <c r="A126">
        <v>125</v>
      </c>
      <c r="B126">
        <v>13</v>
      </c>
      <c r="C126">
        <v>2.4</v>
      </c>
      <c r="D126">
        <v>6.9</v>
      </c>
      <c r="E126">
        <v>65.599999999999994</v>
      </c>
      <c r="F126">
        <v>0.2</v>
      </c>
    </row>
    <row r="127" spans="1:6" x14ac:dyDescent="0.25">
      <c r="A127">
        <v>126</v>
      </c>
      <c r="B127">
        <v>16</v>
      </c>
      <c r="C127">
        <v>3.3</v>
      </c>
      <c r="D127">
        <v>4.3</v>
      </c>
      <c r="E127">
        <v>70.8</v>
      </c>
      <c r="F127">
        <v>2</v>
      </c>
    </row>
    <row r="128" spans="1:6" x14ac:dyDescent="0.25">
      <c r="A128">
        <v>127</v>
      </c>
      <c r="B128">
        <v>17</v>
      </c>
      <c r="C128">
        <v>2.2000000000000002</v>
      </c>
      <c r="D128">
        <v>3.7</v>
      </c>
      <c r="E128">
        <v>68.099999999999994</v>
      </c>
      <c r="F128">
        <v>1.3</v>
      </c>
    </row>
    <row r="129" spans="1:6" x14ac:dyDescent="0.25">
      <c r="A129">
        <v>128</v>
      </c>
      <c r="B129">
        <v>16</v>
      </c>
      <c r="C129">
        <v>2.2999999999999998</v>
      </c>
      <c r="D129">
        <v>6.1</v>
      </c>
      <c r="E129">
        <v>73.099999999999994</v>
      </c>
      <c r="F129">
        <v>0.8</v>
      </c>
    </row>
    <row r="130" spans="1:6" x14ac:dyDescent="0.25">
      <c r="A130">
        <v>129</v>
      </c>
      <c r="B130">
        <v>17</v>
      </c>
      <c r="C130">
        <v>2.8</v>
      </c>
      <c r="D130">
        <v>4.7</v>
      </c>
      <c r="E130">
        <v>58.1</v>
      </c>
      <c r="F130">
        <v>1</v>
      </c>
    </row>
    <row r="131" spans="1:6" x14ac:dyDescent="0.25">
      <c r="A131">
        <v>130</v>
      </c>
      <c r="B131">
        <v>17</v>
      </c>
      <c r="C131">
        <v>4.7</v>
      </c>
      <c r="D131">
        <v>4.9000000000000004</v>
      </c>
      <c r="E131">
        <v>72.8</v>
      </c>
      <c r="F131">
        <v>2.1</v>
      </c>
    </row>
    <row r="132" spans="1:6" x14ac:dyDescent="0.25">
      <c r="A132">
        <v>131</v>
      </c>
      <c r="B132">
        <v>15</v>
      </c>
      <c r="C132">
        <v>1.7</v>
      </c>
      <c r="D132">
        <v>1.7</v>
      </c>
      <c r="E132">
        <v>62.8</v>
      </c>
      <c r="F132">
        <v>1.7</v>
      </c>
    </row>
    <row r="133" spans="1:6" x14ac:dyDescent="0.25">
      <c r="A133">
        <v>132</v>
      </c>
      <c r="B133">
        <v>17</v>
      </c>
      <c r="C133">
        <v>4.4000000000000004</v>
      </c>
      <c r="D133">
        <v>5.8</v>
      </c>
      <c r="E133">
        <v>79.099999999999994</v>
      </c>
      <c r="F133">
        <v>1.5</v>
      </c>
    </row>
    <row r="134" spans="1:6" x14ac:dyDescent="0.25">
      <c r="A134">
        <v>133</v>
      </c>
      <c r="B134">
        <v>16</v>
      </c>
      <c r="C134">
        <v>1.3</v>
      </c>
      <c r="D134">
        <v>4.5999999999999996</v>
      </c>
      <c r="E134">
        <v>63.3</v>
      </c>
      <c r="F134">
        <v>1.7</v>
      </c>
    </row>
    <row r="135" spans="1:6" x14ac:dyDescent="0.25">
      <c r="A135">
        <v>134</v>
      </c>
      <c r="B135">
        <v>17</v>
      </c>
      <c r="C135">
        <v>2.7</v>
      </c>
      <c r="D135">
        <v>1.9</v>
      </c>
      <c r="E135">
        <v>63.4</v>
      </c>
      <c r="F135">
        <v>2.2000000000000002</v>
      </c>
    </row>
    <row r="136" spans="1:6" x14ac:dyDescent="0.25">
      <c r="A136">
        <v>135</v>
      </c>
      <c r="B136">
        <v>15</v>
      </c>
      <c r="D136">
        <v>4.7</v>
      </c>
      <c r="E136">
        <v>74.5</v>
      </c>
      <c r="F136">
        <v>1.4</v>
      </c>
    </row>
    <row r="137" spans="1:6" x14ac:dyDescent="0.25">
      <c r="A137">
        <v>136</v>
      </c>
      <c r="B137">
        <v>15</v>
      </c>
      <c r="C137">
        <v>1.7</v>
      </c>
      <c r="D137">
        <v>0.9</v>
      </c>
      <c r="E137">
        <v>70.099999999999994</v>
      </c>
      <c r="F137">
        <v>1.5</v>
      </c>
    </row>
    <row r="138" spans="1:6" x14ac:dyDescent="0.25">
      <c r="A138">
        <v>137</v>
      </c>
      <c r="B138">
        <v>16</v>
      </c>
      <c r="C138">
        <v>3.2</v>
      </c>
      <c r="D138">
        <v>7.5</v>
      </c>
      <c r="E138">
        <v>92.8</v>
      </c>
      <c r="F138">
        <v>2.4</v>
      </c>
    </row>
    <row r="139" spans="1:6" x14ac:dyDescent="0.25">
      <c r="A139">
        <v>138</v>
      </c>
      <c r="B139">
        <v>14</v>
      </c>
      <c r="C139">
        <v>3.1</v>
      </c>
      <c r="D139">
        <v>2.2999999999999998</v>
      </c>
      <c r="F139">
        <v>1.2</v>
      </c>
    </row>
    <row r="140" spans="1:6" x14ac:dyDescent="0.25">
      <c r="A140">
        <v>139</v>
      </c>
      <c r="B140">
        <v>14</v>
      </c>
      <c r="C140">
        <v>2</v>
      </c>
      <c r="D140">
        <v>6.4</v>
      </c>
      <c r="E140">
        <v>71.099999999999994</v>
      </c>
      <c r="F140">
        <v>2</v>
      </c>
    </row>
    <row r="141" spans="1:6" x14ac:dyDescent="0.25">
      <c r="A141">
        <v>140</v>
      </c>
      <c r="B141">
        <v>17</v>
      </c>
      <c r="C141">
        <v>0.4</v>
      </c>
      <c r="D141">
        <v>2.8</v>
      </c>
      <c r="E141">
        <v>81.3</v>
      </c>
      <c r="F141">
        <v>1.1000000000000001</v>
      </c>
    </row>
    <row r="142" spans="1:6" x14ac:dyDescent="0.25">
      <c r="A142">
        <v>141</v>
      </c>
      <c r="B142">
        <v>13</v>
      </c>
      <c r="C142">
        <v>2.1</v>
      </c>
      <c r="D142">
        <v>4.8</v>
      </c>
      <c r="E142">
        <v>64.2</v>
      </c>
      <c r="F142">
        <v>1.2</v>
      </c>
    </row>
    <row r="143" spans="1:6" x14ac:dyDescent="0.25">
      <c r="A143">
        <v>142</v>
      </c>
      <c r="B143">
        <v>17</v>
      </c>
      <c r="C143">
        <v>2.6</v>
      </c>
      <c r="D143">
        <v>2.6</v>
      </c>
      <c r="E143">
        <v>60.9</v>
      </c>
      <c r="F143">
        <v>1.4</v>
      </c>
    </row>
    <row r="144" spans="1:6" x14ac:dyDescent="0.25">
      <c r="A144">
        <v>143</v>
      </c>
      <c r="B144">
        <v>16</v>
      </c>
      <c r="C144">
        <v>2.5</v>
      </c>
      <c r="D144">
        <v>5.5</v>
      </c>
      <c r="E144">
        <v>61.3</v>
      </c>
      <c r="F144">
        <v>1.9</v>
      </c>
    </row>
    <row r="145" spans="1:6" x14ac:dyDescent="0.25">
      <c r="A145">
        <v>144</v>
      </c>
      <c r="B145">
        <v>16</v>
      </c>
      <c r="C145">
        <v>3.3</v>
      </c>
      <c r="D145">
        <v>3.6</v>
      </c>
      <c r="E145">
        <v>53.9</v>
      </c>
      <c r="F145">
        <v>2.5</v>
      </c>
    </row>
    <row r="146" spans="1:6" x14ac:dyDescent="0.25">
      <c r="A146">
        <v>145</v>
      </c>
      <c r="B146">
        <v>16</v>
      </c>
      <c r="C146">
        <v>4.4000000000000004</v>
      </c>
      <c r="D146">
        <v>4.7</v>
      </c>
      <c r="E146">
        <v>83.5</v>
      </c>
      <c r="F146">
        <v>1.6</v>
      </c>
    </row>
    <row r="147" spans="1:6" x14ac:dyDescent="0.25">
      <c r="A147">
        <v>146</v>
      </c>
      <c r="B147">
        <v>16</v>
      </c>
      <c r="C147">
        <v>2.9</v>
      </c>
      <c r="D147">
        <v>4</v>
      </c>
      <c r="E147">
        <v>66.7</v>
      </c>
      <c r="F147">
        <v>0.3</v>
      </c>
    </row>
    <row r="148" spans="1:6" x14ac:dyDescent="0.25">
      <c r="A148">
        <v>147</v>
      </c>
      <c r="B148">
        <v>16</v>
      </c>
      <c r="C148">
        <v>3.1</v>
      </c>
      <c r="D148">
        <v>2</v>
      </c>
      <c r="E148">
        <v>65.5</v>
      </c>
      <c r="F148">
        <v>2</v>
      </c>
    </row>
    <row r="149" spans="1:6" x14ac:dyDescent="0.25">
      <c r="A149">
        <v>148</v>
      </c>
      <c r="B149">
        <v>15</v>
      </c>
      <c r="C149">
        <v>2.6</v>
      </c>
      <c r="D149">
        <v>4.8</v>
      </c>
      <c r="E149">
        <v>48.8</v>
      </c>
      <c r="F149">
        <v>3.5</v>
      </c>
    </row>
    <row r="150" spans="1:6" x14ac:dyDescent="0.25">
      <c r="A150">
        <v>149</v>
      </c>
      <c r="B150">
        <v>14</v>
      </c>
      <c r="C150">
        <v>3.7</v>
      </c>
      <c r="D150">
        <v>3.2</v>
      </c>
      <c r="E150">
        <v>55.7</v>
      </c>
      <c r="F150">
        <v>1.6</v>
      </c>
    </row>
    <row r="151" spans="1:6" x14ac:dyDescent="0.25">
      <c r="A151">
        <v>150</v>
      </c>
      <c r="B151">
        <v>16</v>
      </c>
      <c r="C151">
        <v>3</v>
      </c>
      <c r="D151">
        <v>5.6</v>
      </c>
      <c r="E151">
        <v>84.7</v>
      </c>
      <c r="F151">
        <v>0.1</v>
      </c>
    </row>
    <row r="152" spans="1:6" x14ac:dyDescent="0.25">
      <c r="A152">
        <v>151</v>
      </c>
      <c r="B152">
        <v>13</v>
      </c>
      <c r="C152">
        <v>3.2</v>
      </c>
      <c r="D152">
        <v>3.6</v>
      </c>
      <c r="E152">
        <v>73</v>
      </c>
      <c r="F152">
        <v>1.6</v>
      </c>
    </row>
    <row r="153" spans="1:6" x14ac:dyDescent="0.25">
      <c r="A153">
        <v>152</v>
      </c>
      <c r="B153">
        <v>13</v>
      </c>
      <c r="C153">
        <v>4.3</v>
      </c>
      <c r="D153">
        <v>3.9</v>
      </c>
      <c r="E153">
        <v>81.7</v>
      </c>
      <c r="F153">
        <v>1.5</v>
      </c>
    </row>
    <row r="154" spans="1:6" x14ac:dyDescent="0.25">
      <c r="A154">
        <v>153</v>
      </c>
      <c r="B154">
        <v>13</v>
      </c>
      <c r="C154">
        <v>2.7</v>
      </c>
      <c r="D154">
        <v>6.5</v>
      </c>
      <c r="E154">
        <v>80.400000000000006</v>
      </c>
      <c r="F154">
        <v>1.4</v>
      </c>
    </row>
    <row r="155" spans="1:6" x14ac:dyDescent="0.25">
      <c r="A155">
        <v>154</v>
      </c>
      <c r="B155">
        <v>13</v>
      </c>
      <c r="C155">
        <v>2.2000000000000002</v>
      </c>
      <c r="D155">
        <v>7.6</v>
      </c>
      <c r="E155">
        <v>60</v>
      </c>
      <c r="F155">
        <v>2.2999999999999998</v>
      </c>
    </row>
    <row r="156" spans="1:6" x14ac:dyDescent="0.25">
      <c r="A156">
        <v>155</v>
      </c>
      <c r="B156">
        <v>15</v>
      </c>
      <c r="C156">
        <v>2.9</v>
      </c>
      <c r="D156">
        <v>5.2</v>
      </c>
      <c r="E156">
        <v>94.3</v>
      </c>
      <c r="F156">
        <v>2.6</v>
      </c>
    </row>
    <row r="157" spans="1:6" x14ac:dyDescent="0.25">
      <c r="A157">
        <v>156</v>
      </c>
      <c r="B157">
        <v>13</v>
      </c>
      <c r="C157">
        <v>3.6</v>
      </c>
      <c r="D157">
        <v>3.6</v>
      </c>
      <c r="E157">
        <v>89.5</v>
      </c>
      <c r="F157">
        <v>2</v>
      </c>
    </row>
    <row r="158" spans="1:6" x14ac:dyDescent="0.25">
      <c r="A158">
        <v>157</v>
      </c>
      <c r="B158">
        <v>16</v>
      </c>
      <c r="C158">
        <v>3</v>
      </c>
      <c r="D158">
        <v>3.4</v>
      </c>
      <c r="E158">
        <v>64.400000000000006</v>
      </c>
      <c r="F158">
        <v>1.4</v>
      </c>
    </row>
    <row r="159" spans="1:6" x14ac:dyDescent="0.25">
      <c r="A159">
        <v>158</v>
      </c>
      <c r="B159">
        <v>17</v>
      </c>
      <c r="C159">
        <v>3.6</v>
      </c>
      <c r="D159">
        <v>2.8</v>
      </c>
      <c r="E159">
        <v>34.299999999999997</v>
      </c>
      <c r="F159">
        <v>2.4</v>
      </c>
    </row>
    <row r="160" spans="1:6" x14ac:dyDescent="0.25">
      <c r="A160">
        <v>159</v>
      </c>
      <c r="B160">
        <v>13</v>
      </c>
      <c r="C160">
        <v>1.8</v>
      </c>
      <c r="D160">
        <v>3.1</v>
      </c>
      <c r="E160">
        <v>66.400000000000006</v>
      </c>
      <c r="F160">
        <v>0.3</v>
      </c>
    </row>
    <row r="161" spans="1:6" x14ac:dyDescent="0.25">
      <c r="A161">
        <v>160</v>
      </c>
      <c r="B161">
        <v>15</v>
      </c>
      <c r="C161">
        <v>1.6</v>
      </c>
      <c r="D161">
        <v>3.6</v>
      </c>
      <c r="E161">
        <v>72.400000000000006</v>
      </c>
      <c r="F161">
        <v>0.9</v>
      </c>
    </row>
    <row r="162" spans="1:6" x14ac:dyDescent="0.25">
      <c r="A162">
        <v>161</v>
      </c>
      <c r="B162">
        <v>15</v>
      </c>
      <c r="C162">
        <v>2</v>
      </c>
      <c r="D162">
        <v>6.9</v>
      </c>
      <c r="E162">
        <v>64.3</v>
      </c>
      <c r="F162">
        <v>1</v>
      </c>
    </row>
    <row r="163" spans="1:6" x14ac:dyDescent="0.25">
      <c r="A163">
        <v>162</v>
      </c>
      <c r="B163">
        <v>13</v>
      </c>
      <c r="C163">
        <v>1.2</v>
      </c>
      <c r="D163">
        <v>3.7</v>
      </c>
      <c r="E163">
        <v>67.8</v>
      </c>
      <c r="F163">
        <v>1.5</v>
      </c>
    </row>
    <row r="164" spans="1:6" x14ac:dyDescent="0.25">
      <c r="A164">
        <v>163</v>
      </c>
      <c r="B164">
        <v>17</v>
      </c>
      <c r="C164">
        <v>2.6</v>
      </c>
      <c r="D164">
        <v>2.2000000000000002</v>
      </c>
      <c r="E164">
        <v>61.7</v>
      </c>
      <c r="F164">
        <v>1.9</v>
      </c>
    </row>
    <row r="165" spans="1:6" x14ac:dyDescent="0.25">
      <c r="A165">
        <v>164</v>
      </c>
      <c r="B165">
        <v>13</v>
      </c>
      <c r="C165">
        <v>2.1</v>
      </c>
      <c r="D165">
        <v>4.0999999999999996</v>
      </c>
      <c r="E165">
        <v>79.2</v>
      </c>
      <c r="F165">
        <v>1.3</v>
      </c>
    </row>
    <row r="166" spans="1:6" x14ac:dyDescent="0.25">
      <c r="A166">
        <v>165</v>
      </c>
      <c r="B166">
        <v>15</v>
      </c>
      <c r="C166">
        <v>3.7</v>
      </c>
      <c r="D166">
        <v>4.3</v>
      </c>
      <c r="E166">
        <v>70.599999999999994</v>
      </c>
      <c r="F166">
        <v>0.8</v>
      </c>
    </row>
    <row r="167" spans="1:6" x14ac:dyDescent="0.25">
      <c r="A167">
        <v>166</v>
      </c>
      <c r="B167">
        <v>14</v>
      </c>
      <c r="C167">
        <v>1.2</v>
      </c>
      <c r="D167">
        <v>4.0999999999999996</v>
      </c>
      <c r="E167">
        <v>79.5</v>
      </c>
      <c r="F167">
        <v>2.2999999999999998</v>
      </c>
    </row>
    <row r="168" spans="1:6" x14ac:dyDescent="0.25">
      <c r="A168">
        <v>167</v>
      </c>
      <c r="B168">
        <v>16</v>
      </c>
      <c r="C168">
        <v>4.0999999999999996</v>
      </c>
      <c r="D168">
        <v>5.2</v>
      </c>
      <c r="E168">
        <v>82.2</v>
      </c>
      <c r="F168">
        <v>1.3</v>
      </c>
    </row>
    <row r="169" spans="1:6" x14ac:dyDescent="0.25">
      <c r="A169">
        <v>168</v>
      </c>
      <c r="B169">
        <v>15</v>
      </c>
      <c r="C169">
        <v>1.5</v>
      </c>
      <c r="D169">
        <v>4.0999999999999996</v>
      </c>
      <c r="E169">
        <v>48.3</v>
      </c>
      <c r="F169">
        <v>1.6</v>
      </c>
    </row>
    <row r="170" spans="1:6" x14ac:dyDescent="0.25">
      <c r="A170">
        <v>169</v>
      </c>
      <c r="B170">
        <v>13</v>
      </c>
      <c r="C170">
        <v>1.3</v>
      </c>
      <c r="D170">
        <v>5.2</v>
      </c>
      <c r="E170">
        <v>62.3</v>
      </c>
      <c r="F170">
        <v>1.9</v>
      </c>
    </row>
    <row r="171" spans="1:6" x14ac:dyDescent="0.25">
      <c r="A171">
        <v>170</v>
      </c>
      <c r="B171">
        <v>16</v>
      </c>
      <c r="C171">
        <v>1.7</v>
      </c>
      <c r="D171">
        <v>2.8</v>
      </c>
      <c r="E171">
        <v>63.8</v>
      </c>
      <c r="F171">
        <v>1.5</v>
      </c>
    </row>
    <row r="172" spans="1:6" x14ac:dyDescent="0.25">
      <c r="A172">
        <v>171</v>
      </c>
      <c r="B172">
        <v>13</v>
      </c>
      <c r="C172">
        <v>4.5</v>
      </c>
      <c r="E172">
        <v>95.7</v>
      </c>
      <c r="F172">
        <v>1.5</v>
      </c>
    </row>
    <row r="173" spans="1:6" x14ac:dyDescent="0.25">
      <c r="A173">
        <v>172</v>
      </c>
      <c r="B173">
        <v>13</v>
      </c>
      <c r="C173">
        <v>2.5</v>
      </c>
      <c r="D173">
        <v>4.4000000000000004</v>
      </c>
      <c r="E173">
        <v>71.5</v>
      </c>
      <c r="F173">
        <v>2.2999999999999998</v>
      </c>
    </row>
    <row r="174" spans="1:6" x14ac:dyDescent="0.25">
      <c r="A174">
        <v>173</v>
      </c>
      <c r="B174">
        <v>14</v>
      </c>
      <c r="C174">
        <v>3</v>
      </c>
      <c r="D174">
        <v>4.5999999999999996</v>
      </c>
      <c r="F174">
        <v>1.6</v>
      </c>
    </row>
    <row r="175" spans="1:6" x14ac:dyDescent="0.25">
      <c r="A175">
        <v>174</v>
      </c>
      <c r="B175">
        <v>16</v>
      </c>
      <c r="C175">
        <v>2.2999999999999998</v>
      </c>
      <c r="D175">
        <v>2.8</v>
      </c>
      <c r="E175">
        <v>51.2</v>
      </c>
      <c r="F175">
        <v>2.2000000000000002</v>
      </c>
    </row>
    <row r="176" spans="1:6" x14ac:dyDescent="0.25">
      <c r="A176">
        <v>175</v>
      </c>
      <c r="B176">
        <v>16</v>
      </c>
      <c r="C176">
        <v>2.4</v>
      </c>
      <c r="D176">
        <v>4.7</v>
      </c>
      <c r="E176">
        <v>71.400000000000006</v>
      </c>
      <c r="F176">
        <v>1.9</v>
      </c>
    </row>
    <row r="177" spans="1:6" x14ac:dyDescent="0.25">
      <c r="A177">
        <v>176</v>
      </c>
      <c r="B177">
        <v>14</v>
      </c>
      <c r="C177">
        <v>2</v>
      </c>
      <c r="D177">
        <v>5</v>
      </c>
      <c r="E177">
        <v>79.8</v>
      </c>
      <c r="F177">
        <v>3.1</v>
      </c>
    </row>
    <row r="178" spans="1:6" x14ac:dyDescent="0.25">
      <c r="A178">
        <v>177</v>
      </c>
      <c r="B178">
        <v>15</v>
      </c>
      <c r="C178">
        <v>2.6</v>
      </c>
      <c r="D178">
        <v>2.2000000000000002</v>
      </c>
      <c r="E178">
        <v>78.599999999999994</v>
      </c>
      <c r="F178">
        <v>1.8</v>
      </c>
    </row>
    <row r="179" spans="1:6" x14ac:dyDescent="0.25">
      <c r="A179">
        <v>178</v>
      </c>
      <c r="B179">
        <v>13</v>
      </c>
      <c r="C179">
        <v>3</v>
      </c>
      <c r="D179">
        <v>1.5</v>
      </c>
      <c r="E179">
        <v>76.2</v>
      </c>
      <c r="F179">
        <v>2</v>
      </c>
    </row>
    <row r="180" spans="1:6" x14ac:dyDescent="0.25">
      <c r="A180">
        <v>179</v>
      </c>
      <c r="B180">
        <v>17</v>
      </c>
      <c r="C180">
        <v>4.2</v>
      </c>
      <c r="D180">
        <v>4.4000000000000004</v>
      </c>
      <c r="E180">
        <v>70.099999999999994</v>
      </c>
      <c r="F180">
        <v>2.4</v>
      </c>
    </row>
    <row r="181" spans="1:6" x14ac:dyDescent="0.25">
      <c r="A181">
        <v>180</v>
      </c>
      <c r="B181">
        <v>13</v>
      </c>
      <c r="C181">
        <v>0.6</v>
      </c>
      <c r="D181">
        <v>3.3</v>
      </c>
      <c r="E181">
        <v>70.599999999999994</v>
      </c>
      <c r="F181">
        <v>1.6</v>
      </c>
    </row>
    <row r="182" spans="1:6" x14ac:dyDescent="0.25">
      <c r="A182">
        <v>181</v>
      </c>
      <c r="B182">
        <v>13</v>
      </c>
      <c r="C182">
        <v>4.0999999999999996</v>
      </c>
      <c r="D182">
        <v>4.4000000000000004</v>
      </c>
      <c r="E182">
        <v>53.1</v>
      </c>
      <c r="F182">
        <v>1</v>
      </c>
    </row>
    <row r="183" spans="1:6" x14ac:dyDescent="0.25">
      <c r="A183">
        <v>182</v>
      </c>
      <c r="B183">
        <v>15</v>
      </c>
      <c r="C183">
        <v>3</v>
      </c>
      <c r="D183">
        <v>2.1</v>
      </c>
      <c r="E183">
        <v>61</v>
      </c>
      <c r="F183">
        <v>1.1000000000000001</v>
      </c>
    </row>
    <row r="184" spans="1:6" x14ac:dyDescent="0.25">
      <c r="A184">
        <v>183</v>
      </c>
      <c r="B184">
        <v>13</v>
      </c>
      <c r="C184">
        <v>2.1</v>
      </c>
      <c r="D184">
        <v>1.7</v>
      </c>
      <c r="E184">
        <v>72.3</v>
      </c>
      <c r="F184">
        <v>1.1000000000000001</v>
      </c>
    </row>
    <row r="185" spans="1:6" x14ac:dyDescent="0.25">
      <c r="A185">
        <v>184</v>
      </c>
      <c r="B185">
        <v>14</v>
      </c>
      <c r="C185">
        <v>2</v>
      </c>
      <c r="D185">
        <v>4.3</v>
      </c>
      <c r="E185">
        <v>62.8</v>
      </c>
      <c r="F185">
        <v>0.7</v>
      </c>
    </row>
    <row r="186" spans="1:6" x14ac:dyDescent="0.25">
      <c r="A186">
        <v>185</v>
      </c>
      <c r="B186">
        <v>14</v>
      </c>
      <c r="C186">
        <v>3.5</v>
      </c>
      <c r="D186">
        <v>3.5</v>
      </c>
      <c r="E186">
        <v>76.900000000000006</v>
      </c>
      <c r="F186">
        <v>1.8</v>
      </c>
    </row>
    <row r="187" spans="1:6" x14ac:dyDescent="0.25">
      <c r="A187">
        <v>186</v>
      </c>
      <c r="B187">
        <v>16</v>
      </c>
      <c r="C187">
        <v>2.7</v>
      </c>
      <c r="E187">
        <v>74.7</v>
      </c>
      <c r="F187">
        <v>1</v>
      </c>
    </row>
    <row r="188" spans="1:6" x14ac:dyDescent="0.25">
      <c r="A188">
        <v>187</v>
      </c>
      <c r="B188">
        <v>17</v>
      </c>
      <c r="C188">
        <v>1</v>
      </c>
      <c r="D188">
        <v>6</v>
      </c>
      <c r="E188">
        <v>83.7</v>
      </c>
      <c r="F188">
        <v>1.7</v>
      </c>
    </row>
    <row r="189" spans="1:6" x14ac:dyDescent="0.25">
      <c r="A189">
        <v>188</v>
      </c>
      <c r="B189">
        <v>13</v>
      </c>
      <c r="C189">
        <v>2.9</v>
      </c>
      <c r="D189">
        <v>2</v>
      </c>
      <c r="E189">
        <v>79.599999999999994</v>
      </c>
      <c r="F189">
        <v>1.4</v>
      </c>
    </row>
    <row r="190" spans="1:6" x14ac:dyDescent="0.25">
      <c r="A190">
        <v>189</v>
      </c>
      <c r="B190">
        <v>13</v>
      </c>
      <c r="C190">
        <v>3.6</v>
      </c>
      <c r="D190">
        <v>7.9</v>
      </c>
      <c r="E190">
        <v>72.3</v>
      </c>
      <c r="F190">
        <v>1.5</v>
      </c>
    </row>
    <row r="191" spans="1:6" x14ac:dyDescent="0.25">
      <c r="A191">
        <v>190</v>
      </c>
      <c r="B191">
        <v>15</v>
      </c>
      <c r="C191">
        <v>3.4</v>
      </c>
      <c r="D191">
        <v>3.1</v>
      </c>
      <c r="E191">
        <v>77.5</v>
      </c>
      <c r="F191">
        <v>1.9</v>
      </c>
    </row>
    <row r="192" spans="1:6" x14ac:dyDescent="0.25">
      <c r="A192">
        <v>191</v>
      </c>
      <c r="B192">
        <v>14</v>
      </c>
      <c r="C192">
        <v>1.9</v>
      </c>
      <c r="D192">
        <v>4.5999999999999996</v>
      </c>
      <c r="E192">
        <v>80.099999999999994</v>
      </c>
      <c r="F192">
        <v>1.1000000000000001</v>
      </c>
    </row>
    <row r="193" spans="1:6" x14ac:dyDescent="0.25">
      <c r="A193">
        <v>192</v>
      </c>
      <c r="B193">
        <v>17</v>
      </c>
      <c r="C193">
        <v>1.2</v>
      </c>
      <c r="D193">
        <v>6.5</v>
      </c>
      <c r="E193">
        <v>64.900000000000006</v>
      </c>
      <c r="F193">
        <v>2</v>
      </c>
    </row>
    <row r="194" spans="1:6" x14ac:dyDescent="0.25">
      <c r="A194">
        <v>193</v>
      </c>
      <c r="B194">
        <v>16</v>
      </c>
      <c r="C194">
        <v>2.2000000000000002</v>
      </c>
      <c r="D194">
        <v>6.2</v>
      </c>
      <c r="E194">
        <v>66.7</v>
      </c>
      <c r="F194">
        <v>2.8</v>
      </c>
    </row>
    <row r="195" spans="1:6" x14ac:dyDescent="0.25">
      <c r="A195">
        <v>194</v>
      </c>
      <c r="B195">
        <v>14</v>
      </c>
      <c r="C195">
        <v>5.8</v>
      </c>
      <c r="D195">
        <v>7</v>
      </c>
      <c r="E195">
        <v>69</v>
      </c>
      <c r="F195">
        <v>1.8</v>
      </c>
    </row>
    <row r="196" spans="1:6" x14ac:dyDescent="0.25">
      <c r="A196">
        <v>195</v>
      </c>
      <c r="B196">
        <v>16</v>
      </c>
      <c r="C196">
        <v>1</v>
      </c>
      <c r="D196">
        <v>1.7</v>
      </c>
      <c r="E196">
        <v>65.2</v>
      </c>
      <c r="F196">
        <v>0.9</v>
      </c>
    </row>
    <row r="197" spans="1:6" x14ac:dyDescent="0.25">
      <c r="A197">
        <v>196</v>
      </c>
      <c r="B197">
        <v>15</v>
      </c>
      <c r="C197">
        <v>1.7</v>
      </c>
      <c r="D197">
        <v>2.2999999999999998</v>
      </c>
      <c r="E197">
        <v>80.2</v>
      </c>
      <c r="F197">
        <v>1</v>
      </c>
    </row>
    <row r="198" spans="1:6" x14ac:dyDescent="0.25">
      <c r="A198">
        <v>197</v>
      </c>
      <c r="B198">
        <v>15</v>
      </c>
      <c r="C198">
        <v>2.9</v>
      </c>
      <c r="D198">
        <v>4.3</v>
      </c>
      <c r="E198">
        <v>63.7</v>
      </c>
      <c r="F198">
        <v>1.3</v>
      </c>
    </row>
    <row r="199" spans="1:6" x14ac:dyDescent="0.25">
      <c r="A199">
        <v>198</v>
      </c>
      <c r="B199">
        <v>13</v>
      </c>
      <c r="C199">
        <v>2.4</v>
      </c>
      <c r="D199">
        <v>5.3</v>
      </c>
      <c r="E199">
        <v>82.5</v>
      </c>
      <c r="F199">
        <v>1</v>
      </c>
    </row>
    <row r="200" spans="1:6" x14ac:dyDescent="0.25">
      <c r="A200">
        <v>199</v>
      </c>
      <c r="B200">
        <v>17</v>
      </c>
      <c r="C200">
        <v>2.2999999999999998</v>
      </c>
      <c r="D200">
        <v>4</v>
      </c>
      <c r="E200">
        <v>66.3</v>
      </c>
      <c r="F200">
        <v>0.7</v>
      </c>
    </row>
    <row r="201" spans="1:6" x14ac:dyDescent="0.25">
      <c r="A201">
        <v>200</v>
      </c>
      <c r="B201">
        <v>16</v>
      </c>
      <c r="C201">
        <v>4.5</v>
      </c>
      <c r="D201">
        <v>1.5</v>
      </c>
      <c r="E201">
        <v>74.7</v>
      </c>
      <c r="F201">
        <v>1.6</v>
      </c>
    </row>
    <row r="202" spans="1:6" x14ac:dyDescent="0.25">
      <c r="A202">
        <v>132</v>
      </c>
      <c r="B202">
        <v>17</v>
      </c>
      <c r="C202">
        <v>4.4000000000000004</v>
      </c>
      <c r="D202">
        <v>5.8</v>
      </c>
      <c r="E202">
        <v>79.099999999999994</v>
      </c>
      <c r="F202">
        <v>1.5</v>
      </c>
    </row>
    <row r="203" spans="1:6" x14ac:dyDescent="0.25">
      <c r="A203">
        <v>46</v>
      </c>
      <c r="B203">
        <v>13</v>
      </c>
      <c r="C203">
        <v>1.8</v>
      </c>
      <c r="D203">
        <v>4.9000000000000004</v>
      </c>
      <c r="E203">
        <v>74.599999999999994</v>
      </c>
      <c r="F203">
        <v>1.6</v>
      </c>
    </row>
    <row r="204" spans="1:6" x14ac:dyDescent="0.25">
      <c r="A204">
        <v>129</v>
      </c>
      <c r="B204">
        <v>17</v>
      </c>
      <c r="C204">
        <v>2.8</v>
      </c>
      <c r="D204">
        <v>4.7</v>
      </c>
      <c r="E204">
        <v>58.1</v>
      </c>
      <c r="F204">
        <v>1</v>
      </c>
    </row>
    <row r="205" spans="1:6" x14ac:dyDescent="0.25">
      <c r="A205">
        <v>24</v>
      </c>
      <c r="B205">
        <v>13</v>
      </c>
      <c r="C205">
        <v>3.2</v>
      </c>
      <c r="D205">
        <v>2.6</v>
      </c>
      <c r="E205">
        <v>53.2</v>
      </c>
      <c r="F205">
        <v>0</v>
      </c>
    </row>
    <row r="206" spans="1:6" x14ac:dyDescent="0.25">
      <c r="A206">
        <v>39</v>
      </c>
      <c r="B206">
        <v>13</v>
      </c>
      <c r="C206">
        <v>2.4</v>
      </c>
      <c r="D206">
        <v>3.2</v>
      </c>
      <c r="E206">
        <v>76.7</v>
      </c>
      <c r="F206">
        <v>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F13-C691-4CC8-AB0D-1338C8C9EA04}">
  <dimension ref="A1:F206"/>
  <sheetViews>
    <sheetView tabSelected="1" workbookViewId="0">
      <selection activeCell="J14" sqref="J14"/>
    </sheetView>
  </sheetViews>
  <sheetFormatPr defaultRowHeight="13.8" x14ac:dyDescent="0.25"/>
  <cols>
    <col min="1" max="1" width="12.296875" customWidth="1"/>
    <col min="3" max="4" width="13.59765625" customWidth="1"/>
    <col min="5" max="5" width="12.69921875" customWidth="1"/>
    <col min="6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16</v>
      </c>
      <c r="C2">
        <v>2.5</v>
      </c>
      <c r="D2">
        <v>2.7</v>
      </c>
      <c r="E2">
        <v>75</v>
      </c>
      <c r="F2">
        <v>1.6</v>
      </c>
    </row>
    <row r="3" spans="1:6" x14ac:dyDescent="0.25">
      <c r="A3">
        <v>2</v>
      </c>
      <c r="B3">
        <v>17</v>
      </c>
      <c r="C3">
        <v>2.7</v>
      </c>
      <c r="D3">
        <v>4</v>
      </c>
      <c r="E3">
        <v>68.099999999999994</v>
      </c>
      <c r="F3">
        <v>0.7</v>
      </c>
    </row>
    <row r="4" spans="1:6" x14ac:dyDescent="0.25">
      <c r="A4">
        <v>3</v>
      </c>
      <c r="B4">
        <v>15</v>
      </c>
      <c r="C4">
        <v>3</v>
      </c>
      <c r="D4">
        <v>4.3</v>
      </c>
      <c r="E4">
        <v>67.900000000000006</v>
      </c>
      <c r="F4">
        <v>1.5</v>
      </c>
    </row>
    <row r="5" spans="1:6" x14ac:dyDescent="0.25">
      <c r="A5">
        <v>4</v>
      </c>
      <c r="B5">
        <v>17</v>
      </c>
      <c r="C5">
        <v>3</v>
      </c>
      <c r="D5">
        <v>2.8</v>
      </c>
      <c r="E5">
        <v>47.2</v>
      </c>
      <c r="F5">
        <v>1.8</v>
      </c>
    </row>
    <row r="6" spans="1:6" x14ac:dyDescent="0.25">
      <c r="A6">
        <v>5</v>
      </c>
      <c r="B6">
        <v>17</v>
      </c>
      <c r="D6">
        <v>1.8</v>
      </c>
      <c r="E6">
        <v>78</v>
      </c>
      <c r="F6">
        <v>1.4</v>
      </c>
    </row>
    <row r="7" spans="1:6" x14ac:dyDescent="0.25">
      <c r="A7">
        <v>6</v>
      </c>
      <c r="B7">
        <v>14</v>
      </c>
      <c r="C7">
        <v>1.3</v>
      </c>
      <c r="D7">
        <v>4.4000000000000004</v>
      </c>
      <c r="E7">
        <v>71.5</v>
      </c>
      <c r="F7">
        <v>0.4</v>
      </c>
    </row>
    <row r="8" spans="1:6" x14ac:dyDescent="0.25">
      <c r="A8">
        <v>7</v>
      </c>
      <c r="B8">
        <v>15</v>
      </c>
      <c r="C8">
        <v>3.3</v>
      </c>
      <c r="D8">
        <v>6.7</v>
      </c>
      <c r="E8">
        <v>88</v>
      </c>
      <c r="F8">
        <v>2.9</v>
      </c>
    </row>
    <row r="9" spans="1:6" x14ac:dyDescent="0.25">
      <c r="A9">
        <v>8</v>
      </c>
      <c r="B9">
        <v>15</v>
      </c>
      <c r="C9">
        <v>2.9</v>
      </c>
      <c r="D9">
        <v>4.5999999999999996</v>
      </c>
      <c r="E9">
        <v>69.3</v>
      </c>
      <c r="F9">
        <v>1.6</v>
      </c>
    </row>
    <row r="10" spans="1:6" x14ac:dyDescent="0.25">
      <c r="A10">
        <v>9</v>
      </c>
      <c r="B10">
        <v>15</v>
      </c>
      <c r="C10">
        <v>1.4</v>
      </c>
      <c r="D10">
        <v>4.0999999999999996</v>
      </c>
      <c r="E10">
        <v>75.7</v>
      </c>
      <c r="F10">
        <v>0.9</v>
      </c>
    </row>
    <row r="11" spans="1:6" x14ac:dyDescent="0.25">
      <c r="A11">
        <v>10</v>
      </c>
      <c r="B11">
        <v>17</v>
      </c>
      <c r="C11">
        <v>1.8</v>
      </c>
      <c r="D11">
        <v>4.0999999999999996</v>
      </c>
      <c r="E11">
        <v>78.3</v>
      </c>
      <c r="F11">
        <v>2.8</v>
      </c>
    </row>
    <row r="12" spans="1:6" x14ac:dyDescent="0.25">
      <c r="A12">
        <v>11</v>
      </c>
      <c r="B12">
        <v>16</v>
      </c>
      <c r="C12">
        <v>3.4</v>
      </c>
      <c r="D12">
        <v>3.6</v>
      </c>
      <c r="E12">
        <v>52.5</v>
      </c>
      <c r="F12">
        <v>2</v>
      </c>
    </row>
    <row r="13" spans="1:6" x14ac:dyDescent="0.25">
      <c r="A13">
        <v>12</v>
      </c>
      <c r="B13">
        <v>15</v>
      </c>
      <c r="C13">
        <v>3.1</v>
      </c>
      <c r="D13">
        <v>5.8</v>
      </c>
      <c r="E13">
        <v>96.2</v>
      </c>
      <c r="F13">
        <v>0.5</v>
      </c>
    </row>
    <row r="14" spans="1:6" x14ac:dyDescent="0.25">
      <c r="A14">
        <v>13</v>
      </c>
      <c r="B14">
        <v>17</v>
      </c>
      <c r="C14">
        <v>1.8</v>
      </c>
      <c r="E14">
        <v>65.7</v>
      </c>
      <c r="F14">
        <v>0.7</v>
      </c>
    </row>
    <row r="15" spans="1:6" x14ac:dyDescent="0.25">
      <c r="A15">
        <v>14</v>
      </c>
      <c r="B15">
        <v>14</v>
      </c>
      <c r="C15">
        <v>2.2000000000000002</v>
      </c>
      <c r="D15">
        <v>2</v>
      </c>
      <c r="E15">
        <v>74.900000000000006</v>
      </c>
      <c r="F15">
        <v>1.3</v>
      </c>
    </row>
    <row r="16" spans="1:6" x14ac:dyDescent="0.25">
      <c r="A16">
        <v>15</v>
      </c>
      <c r="B16">
        <v>16</v>
      </c>
      <c r="C16">
        <v>2.4</v>
      </c>
      <c r="D16">
        <v>1.6</v>
      </c>
      <c r="E16">
        <v>76.400000000000006</v>
      </c>
      <c r="F16">
        <v>1.7</v>
      </c>
    </row>
    <row r="17" spans="1:6" x14ac:dyDescent="0.25">
      <c r="A17">
        <v>16</v>
      </c>
      <c r="B17">
        <v>14</v>
      </c>
      <c r="C17">
        <v>3.1</v>
      </c>
      <c r="D17">
        <v>4.0999999999999996</v>
      </c>
      <c r="E17">
        <v>61.9</v>
      </c>
      <c r="F17">
        <v>2</v>
      </c>
    </row>
    <row r="18" spans="1:6" x14ac:dyDescent="0.25">
      <c r="A18">
        <v>17</v>
      </c>
      <c r="B18">
        <v>16</v>
      </c>
      <c r="C18">
        <v>3.7</v>
      </c>
      <c r="D18">
        <v>5.6</v>
      </c>
      <c r="E18">
        <v>88.5</v>
      </c>
      <c r="F18">
        <v>2.2999999999999998</v>
      </c>
    </row>
    <row r="19" spans="1:6" x14ac:dyDescent="0.25">
      <c r="A19">
        <v>18</v>
      </c>
      <c r="B19">
        <v>17</v>
      </c>
      <c r="C19">
        <v>2.6</v>
      </c>
      <c r="D19">
        <v>4.4000000000000004</v>
      </c>
      <c r="E19">
        <v>72.7</v>
      </c>
      <c r="F19">
        <v>1.9</v>
      </c>
    </row>
    <row r="20" spans="1:6" x14ac:dyDescent="0.25">
      <c r="A20">
        <v>19</v>
      </c>
      <c r="B20">
        <v>13</v>
      </c>
      <c r="D20">
        <v>3.5</v>
      </c>
      <c r="E20">
        <v>67.900000000000006</v>
      </c>
      <c r="F20">
        <v>2.6</v>
      </c>
    </row>
    <row r="21" spans="1:6" x14ac:dyDescent="0.25">
      <c r="A21">
        <v>20</v>
      </c>
      <c r="B21">
        <v>16</v>
      </c>
      <c r="C21">
        <v>3.4</v>
      </c>
      <c r="D21">
        <v>4.7</v>
      </c>
      <c r="E21">
        <v>71.400000000000006</v>
      </c>
      <c r="F21">
        <v>1.6</v>
      </c>
    </row>
    <row r="22" spans="1:6" x14ac:dyDescent="0.25">
      <c r="A22">
        <v>21</v>
      </c>
      <c r="B22">
        <v>14</v>
      </c>
      <c r="C22">
        <v>2.7</v>
      </c>
      <c r="D22">
        <v>4.3</v>
      </c>
      <c r="E22">
        <v>77.599999999999994</v>
      </c>
      <c r="F22">
        <v>0.9</v>
      </c>
    </row>
    <row r="23" spans="1:6" x14ac:dyDescent="0.25">
      <c r="A23">
        <v>22</v>
      </c>
      <c r="B23">
        <v>17</v>
      </c>
      <c r="C23">
        <v>1.1000000000000001</v>
      </c>
      <c r="D23">
        <v>5.2</v>
      </c>
      <c r="E23">
        <v>70.099999999999994</v>
      </c>
      <c r="F23">
        <v>1.5</v>
      </c>
    </row>
    <row r="24" spans="1:6" x14ac:dyDescent="0.25">
      <c r="A24">
        <v>23</v>
      </c>
      <c r="B24">
        <v>16</v>
      </c>
      <c r="C24">
        <v>1.5</v>
      </c>
      <c r="D24">
        <v>6</v>
      </c>
      <c r="E24">
        <v>78.8</v>
      </c>
      <c r="F24">
        <v>1.4</v>
      </c>
    </row>
    <row r="25" spans="1:6" x14ac:dyDescent="0.25">
      <c r="A25">
        <v>24</v>
      </c>
      <c r="B25">
        <v>13</v>
      </c>
      <c r="C25">
        <v>3.2</v>
      </c>
      <c r="D25">
        <v>2.6</v>
      </c>
      <c r="E25">
        <v>53.2</v>
      </c>
      <c r="F25">
        <v>0</v>
      </c>
    </row>
    <row r="26" spans="1:6" x14ac:dyDescent="0.25">
      <c r="A26">
        <v>25</v>
      </c>
      <c r="B26">
        <v>13</v>
      </c>
      <c r="C26">
        <v>0.8</v>
      </c>
      <c r="D26">
        <v>0.5</v>
      </c>
      <c r="E26">
        <v>62.5</v>
      </c>
      <c r="F26">
        <v>1.1000000000000001</v>
      </c>
    </row>
    <row r="27" spans="1:6" x14ac:dyDescent="0.25">
      <c r="A27">
        <v>26</v>
      </c>
      <c r="B27">
        <v>15</v>
      </c>
      <c r="C27">
        <v>2.6</v>
      </c>
      <c r="D27">
        <v>3.5</v>
      </c>
      <c r="E27">
        <v>48.6</v>
      </c>
      <c r="F27">
        <v>1.8</v>
      </c>
    </row>
    <row r="28" spans="1:6" x14ac:dyDescent="0.25">
      <c r="A28">
        <v>27</v>
      </c>
      <c r="B28">
        <v>15</v>
      </c>
      <c r="C28">
        <v>3.5</v>
      </c>
      <c r="D28">
        <v>2.5</v>
      </c>
      <c r="E28">
        <v>90</v>
      </c>
      <c r="F28">
        <v>1.2</v>
      </c>
    </row>
    <row r="29" spans="1:6" x14ac:dyDescent="0.25">
      <c r="A29">
        <v>28</v>
      </c>
      <c r="B29">
        <v>14</v>
      </c>
      <c r="C29">
        <v>2.7</v>
      </c>
      <c r="D29">
        <v>5.2</v>
      </c>
      <c r="E29">
        <v>89.8</v>
      </c>
      <c r="F29">
        <v>1</v>
      </c>
    </row>
    <row r="30" spans="1:6" x14ac:dyDescent="0.25">
      <c r="A30">
        <v>29</v>
      </c>
      <c r="B30">
        <v>16</v>
      </c>
      <c r="C30">
        <v>1.9</v>
      </c>
      <c r="D30">
        <v>2.9</v>
      </c>
      <c r="E30">
        <v>76.3</v>
      </c>
      <c r="F30">
        <v>2.2000000000000002</v>
      </c>
    </row>
    <row r="31" spans="1:6" x14ac:dyDescent="0.25">
      <c r="A31">
        <v>30</v>
      </c>
      <c r="B31">
        <v>16</v>
      </c>
      <c r="C31">
        <v>1.7</v>
      </c>
      <c r="D31">
        <v>1.2</v>
      </c>
      <c r="E31">
        <v>59.9</v>
      </c>
      <c r="F31">
        <v>0.8</v>
      </c>
    </row>
    <row r="32" spans="1:6" x14ac:dyDescent="0.25">
      <c r="A32">
        <v>31</v>
      </c>
      <c r="B32">
        <v>15</v>
      </c>
      <c r="C32">
        <v>3.3</v>
      </c>
      <c r="D32">
        <v>3.1</v>
      </c>
      <c r="E32">
        <v>93.9</v>
      </c>
      <c r="F32">
        <v>2.1</v>
      </c>
    </row>
    <row r="33" spans="1:6" x14ac:dyDescent="0.25">
      <c r="A33">
        <v>32</v>
      </c>
      <c r="B33">
        <v>16</v>
      </c>
      <c r="C33">
        <v>3</v>
      </c>
      <c r="D33">
        <v>1.8</v>
      </c>
      <c r="E33">
        <v>64</v>
      </c>
      <c r="F33">
        <v>0.4</v>
      </c>
    </row>
    <row r="34" spans="1:6" x14ac:dyDescent="0.25">
      <c r="A34">
        <v>33</v>
      </c>
      <c r="B34">
        <v>16</v>
      </c>
      <c r="C34">
        <v>2.2000000000000002</v>
      </c>
      <c r="D34">
        <v>6.4</v>
      </c>
      <c r="E34">
        <v>67.900000000000006</v>
      </c>
      <c r="F34">
        <v>3.7</v>
      </c>
    </row>
    <row r="35" spans="1:6" x14ac:dyDescent="0.25">
      <c r="A35">
        <v>34</v>
      </c>
      <c r="B35">
        <v>13</v>
      </c>
      <c r="C35">
        <v>3.6</v>
      </c>
      <c r="D35">
        <v>4.7</v>
      </c>
      <c r="E35">
        <v>71.599999999999994</v>
      </c>
      <c r="F35">
        <v>1.3</v>
      </c>
    </row>
    <row r="36" spans="1:6" x14ac:dyDescent="0.25">
      <c r="A36">
        <v>35</v>
      </c>
      <c r="B36">
        <v>15</v>
      </c>
      <c r="C36">
        <v>3.4</v>
      </c>
      <c r="D36">
        <v>5</v>
      </c>
      <c r="E36">
        <v>74.5</v>
      </c>
      <c r="F36">
        <v>1.2</v>
      </c>
    </row>
    <row r="37" spans="1:6" x14ac:dyDescent="0.25">
      <c r="A37">
        <v>36</v>
      </c>
      <c r="B37">
        <v>17</v>
      </c>
      <c r="C37">
        <v>4.3</v>
      </c>
      <c r="D37">
        <v>4.8</v>
      </c>
      <c r="E37">
        <v>76.400000000000006</v>
      </c>
      <c r="F37">
        <v>2.4</v>
      </c>
    </row>
    <row r="38" spans="1:6" x14ac:dyDescent="0.25">
      <c r="A38">
        <v>37</v>
      </c>
      <c r="B38">
        <v>15</v>
      </c>
      <c r="C38">
        <v>3.1</v>
      </c>
      <c r="D38">
        <v>5.3</v>
      </c>
      <c r="E38">
        <v>76.8</v>
      </c>
      <c r="F38">
        <v>1.2</v>
      </c>
    </row>
    <row r="39" spans="1:6" x14ac:dyDescent="0.25">
      <c r="A39">
        <v>38</v>
      </c>
      <c r="B39">
        <v>17</v>
      </c>
      <c r="C39">
        <v>2.2999999999999998</v>
      </c>
      <c r="D39">
        <v>5.7</v>
      </c>
      <c r="F39">
        <v>2.7</v>
      </c>
    </row>
    <row r="40" spans="1:6" x14ac:dyDescent="0.25">
      <c r="A40">
        <v>39</v>
      </c>
      <c r="B40">
        <v>13</v>
      </c>
      <c r="C40">
        <v>2.4</v>
      </c>
      <c r="D40">
        <v>3.2</v>
      </c>
      <c r="E40">
        <v>76.7</v>
      </c>
      <c r="F40">
        <v>1.8</v>
      </c>
    </row>
    <row r="41" spans="1:6" x14ac:dyDescent="0.25">
      <c r="A41">
        <v>40</v>
      </c>
      <c r="B41">
        <v>14</v>
      </c>
      <c r="C41">
        <v>0.6</v>
      </c>
      <c r="D41">
        <v>1.9</v>
      </c>
      <c r="F41">
        <v>1.4</v>
      </c>
    </row>
    <row r="42" spans="1:6" x14ac:dyDescent="0.25">
      <c r="A42">
        <v>41</v>
      </c>
      <c r="B42">
        <v>16</v>
      </c>
      <c r="C42">
        <v>2.7</v>
      </c>
      <c r="D42">
        <v>2.7</v>
      </c>
      <c r="E42">
        <v>75.8</v>
      </c>
      <c r="F42">
        <v>1.3</v>
      </c>
    </row>
    <row r="43" spans="1:6" x14ac:dyDescent="0.25">
      <c r="A43">
        <v>42</v>
      </c>
      <c r="B43">
        <v>13</v>
      </c>
      <c r="D43">
        <v>3.9</v>
      </c>
      <c r="E43">
        <v>75</v>
      </c>
      <c r="F43">
        <v>2.5</v>
      </c>
    </row>
    <row r="44" spans="1:6" x14ac:dyDescent="0.25">
      <c r="A44">
        <v>43</v>
      </c>
      <c r="B44">
        <v>16</v>
      </c>
      <c r="C44">
        <v>1.2</v>
      </c>
      <c r="D44">
        <v>0.2</v>
      </c>
      <c r="E44">
        <v>77.599999999999994</v>
      </c>
      <c r="F44">
        <v>1.7</v>
      </c>
    </row>
    <row r="45" spans="1:6" x14ac:dyDescent="0.25">
      <c r="A45">
        <v>44</v>
      </c>
      <c r="B45">
        <v>14</v>
      </c>
      <c r="C45">
        <v>2.5</v>
      </c>
      <c r="D45">
        <v>5.7</v>
      </c>
      <c r="E45">
        <v>76.400000000000006</v>
      </c>
      <c r="F45">
        <v>1.8</v>
      </c>
    </row>
    <row r="46" spans="1:6" x14ac:dyDescent="0.25">
      <c r="A46">
        <v>45</v>
      </c>
      <c r="B46">
        <v>14</v>
      </c>
      <c r="C46">
        <v>3.8</v>
      </c>
      <c r="D46">
        <v>1.2</v>
      </c>
      <c r="E46">
        <v>65.599999999999994</v>
      </c>
      <c r="F46">
        <v>1.9</v>
      </c>
    </row>
    <row r="47" spans="1:6" x14ac:dyDescent="0.25">
      <c r="A47">
        <v>46</v>
      </c>
      <c r="B47">
        <v>13</v>
      </c>
      <c r="C47">
        <v>1.8</v>
      </c>
      <c r="D47">
        <v>4.9000000000000004</v>
      </c>
      <c r="E47">
        <v>74.599999999999994</v>
      </c>
      <c r="F47">
        <v>1.6</v>
      </c>
    </row>
    <row r="48" spans="1:6" x14ac:dyDescent="0.25">
      <c r="A48">
        <v>47</v>
      </c>
      <c r="B48">
        <v>14</v>
      </c>
      <c r="C48">
        <v>1.5</v>
      </c>
      <c r="D48">
        <v>3.7</v>
      </c>
      <c r="E48">
        <v>76.5</v>
      </c>
      <c r="F48">
        <v>1.9</v>
      </c>
    </row>
    <row r="49" spans="1:6" x14ac:dyDescent="0.25">
      <c r="A49">
        <v>48</v>
      </c>
      <c r="B49">
        <v>17</v>
      </c>
      <c r="C49">
        <v>3.6</v>
      </c>
      <c r="D49">
        <v>4.4000000000000004</v>
      </c>
      <c r="E49">
        <v>57.1</v>
      </c>
      <c r="F49">
        <v>1.4</v>
      </c>
    </row>
    <row r="50" spans="1:6" x14ac:dyDescent="0.25">
      <c r="A50">
        <v>49</v>
      </c>
      <c r="B50">
        <v>14</v>
      </c>
      <c r="C50">
        <v>3.1</v>
      </c>
      <c r="D50">
        <v>3.3</v>
      </c>
      <c r="E50">
        <v>67.3</v>
      </c>
      <c r="F50">
        <v>1.5</v>
      </c>
    </row>
    <row r="51" spans="1:6" x14ac:dyDescent="0.25">
      <c r="A51">
        <v>50</v>
      </c>
      <c r="B51">
        <v>16</v>
      </c>
      <c r="C51">
        <v>5.6</v>
      </c>
      <c r="D51">
        <v>4.3</v>
      </c>
      <c r="E51">
        <v>76.099999999999994</v>
      </c>
      <c r="F51">
        <v>0.6</v>
      </c>
    </row>
    <row r="52" spans="1:6" x14ac:dyDescent="0.25">
      <c r="A52">
        <v>51</v>
      </c>
      <c r="B52">
        <v>16</v>
      </c>
      <c r="C52">
        <v>1.2</v>
      </c>
      <c r="D52">
        <v>3.3</v>
      </c>
      <c r="E52">
        <v>87.1</v>
      </c>
      <c r="F52">
        <v>1.7</v>
      </c>
    </row>
    <row r="53" spans="1:6" x14ac:dyDescent="0.25">
      <c r="A53">
        <v>52</v>
      </c>
      <c r="B53">
        <v>16</v>
      </c>
      <c r="C53">
        <v>3.2</v>
      </c>
      <c r="D53">
        <v>3.2</v>
      </c>
      <c r="E53">
        <v>78.2</v>
      </c>
      <c r="F53">
        <v>0.1</v>
      </c>
    </row>
    <row r="54" spans="1:6" x14ac:dyDescent="0.25">
      <c r="A54">
        <v>53</v>
      </c>
      <c r="B54">
        <v>16</v>
      </c>
      <c r="C54">
        <v>2.8</v>
      </c>
      <c r="D54">
        <v>2.7</v>
      </c>
      <c r="E54">
        <v>87.7</v>
      </c>
      <c r="F54">
        <v>1.7</v>
      </c>
    </row>
    <row r="55" spans="1:6" x14ac:dyDescent="0.25">
      <c r="A55">
        <v>54</v>
      </c>
      <c r="B55">
        <v>17</v>
      </c>
      <c r="C55">
        <v>2.6</v>
      </c>
      <c r="E55">
        <v>66</v>
      </c>
      <c r="F55">
        <v>1.3</v>
      </c>
    </row>
    <row r="56" spans="1:6" x14ac:dyDescent="0.25">
      <c r="A56">
        <v>55</v>
      </c>
      <c r="B56">
        <v>15</v>
      </c>
      <c r="C56">
        <v>3.4</v>
      </c>
      <c r="D56">
        <v>4.5999999999999996</v>
      </c>
      <c r="E56">
        <v>72.5</v>
      </c>
      <c r="F56">
        <v>1.8</v>
      </c>
    </row>
    <row r="57" spans="1:6" x14ac:dyDescent="0.25">
      <c r="A57">
        <v>56</v>
      </c>
      <c r="B57">
        <v>13</v>
      </c>
      <c r="C57">
        <v>2.5</v>
      </c>
      <c r="D57">
        <v>4.3</v>
      </c>
      <c r="E57">
        <v>78.099999999999994</v>
      </c>
      <c r="F57">
        <v>0.7</v>
      </c>
    </row>
    <row r="58" spans="1:6" x14ac:dyDescent="0.25">
      <c r="A58">
        <v>57</v>
      </c>
      <c r="B58">
        <v>16</v>
      </c>
      <c r="C58">
        <v>0.6</v>
      </c>
      <c r="D58">
        <v>2.7</v>
      </c>
      <c r="E58">
        <v>46.7</v>
      </c>
      <c r="F58">
        <v>0</v>
      </c>
    </row>
    <row r="59" spans="1:6" x14ac:dyDescent="0.25">
      <c r="A59">
        <v>58</v>
      </c>
      <c r="B59">
        <v>14</v>
      </c>
      <c r="C59">
        <v>1.7</v>
      </c>
      <c r="D59">
        <v>3.6</v>
      </c>
      <c r="F59">
        <v>1.2</v>
      </c>
    </row>
    <row r="60" spans="1:6" x14ac:dyDescent="0.25">
      <c r="A60">
        <v>59</v>
      </c>
      <c r="B60">
        <v>16</v>
      </c>
      <c r="C60">
        <v>3.9</v>
      </c>
      <c r="D60">
        <v>2.5</v>
      </c>
      <c r="E60">
        <v>51.4</v>
      </c>
      <c r="F60">
        <v>0.7</v>
      </c>
    </row>
    <row r="61" spans="1:6" x14ac:dyDescent="0.25">
      <c r="A61">
        <v>60</v>
      </c>
      <c r="B61">
        <v>14</v>
      </c>
      <c r="C61">
        <v>3.7</v>
      </c>
      <c r="D61">
        <v>3.3</v>
      </c>
      <c r="E61">
        <v>80</v>
      </c>
      <c r="F61">
        <v>0.1</v>
      </c>
    </row>
    <row r="62" spans="1:6" x14ac:dyDescent="0.25">
      <c r="A62">
        <v>61</v>
      </c>
      <c r="B62">
        <v>14</v>
      </c>
      <c r="C62">
        <v>2.1</v>
      </c>
      <c r="D62">
        <v>2.2000000000000002</v>
      </c>
      <c r="E62">
        <v>76.900000000000006</v>
      </c>
      <c r="F62">
        <v>2.1</v>
      </c>
    </row>
    <row r="63" spans="1:6" x14ac:dyDescent="0.25">
      <c r="A63">
        <v>62</v>
      </c>
      <c r="B63">
        <v>16</v>
      </c>
      <c r="C63">
        <v>3</v>
      </c>
      <c r="D63">
        <v>6.4</v>
      </c>
      <c r="E63">
        <v>46.6</v>
      </c>
      <c r="F63">
        <v>2.8</v>
      </c>
    </row>
    <row r="64" spans="1:6" x14ac:dyDescent="0.25">
      <c r="A64">
        <v>63</v>
      </c>
      <c r="B64">
        <v>17</v>
      </c>
      <c r="C64">
        <v>5.3</v>
      </c>
      <c r="E64">
        <v>47.1</v>
      </c>
      <c r="F64">
        <v>0.9</v>
      </c>
    </row>
    <row r="65" spans="1:6" x14ac:dyDescent="0.25">
      <c r="A65">
        <v>64</v>
      </c>
      <c r="B65">
        <v>14</v>
      </c>
      <c r="C65">
        <v>2.5</v>
      </c>
      <c r="D65">
        <v>2.7</v>
      </c>
      <c r="F65">
        <v>1.4</v>
      </c>
    </row>
    <row r="66" spans="1:6" x14ac:dyDescent="0.25">
      <c r="A66">
        <v>65</v>
      </c>
      <c r="B66">
        <v>14</v>
      </c>
      <c r="C66">
        <v>2.5</v>
      </c>
      <c r="D66">
        <v>2</v>
      </c>
      <c r="E66">
        <v>82.1</v>
      </c>
      <c r="F66">
        <v>1.3</v>
      </c>
    </row>
    <row r="67" spans="1:6" x14ac:dyDescent="0.25">
      <c r="A67">
        <v>66</v>
      </c>
      <c r="B67">
        <v>16</v>
      </c>
      <c r="C67">
        <v>2.7</v>
      </c>
      <c r="D67">
        <v>2.8</v>
      </c>
      <c r="E67">
        <v>61.2</v>
      </c>
      <c r="F67">
        <v>1</v>
      </c>
    </row>
    <row r="68" spans="1:6" x14ac:dyDescent="0.25">
      <c r="A68">
        <v>67</v>
      </c>
      <c r="B68">
        <v>14</v>
      </c>
      <c r="C68">
        <v>3.1</v>
      </c>
      <c r="D68">
        <v>3.3</v>
      </c>
      <c r="E68">
        <v>61.2</v>
      </c>
      <c r="F68">
        <v>2</v>
      </c>
    </row>
    <row r="69" spans="1:6" x14ac:dyDescent="0.25">
      <c r="A69">
        <v>68</v>
      </c>
      <c r="B69">
        <v>14</v>
      </c>
      <c r="C69">
        <v>2.2000000000000002</v>
      </c>
      <c r="D69">
        <v>3.9</v>
      </c>
      <c r="E69">
        <v>75.099999999999994</v>
      </c>
      <c r="F69">
        <v>2.2999999999999998</v>
      </c>
    </row>
    <row r="70" spans="1:6" x14ac:dyDescent="0.25">
      <c r="A70">
        <v>69</v>
      </c>
      <c r="B70">
        <v>16</v>
      </c>
      <c r="C70">
        <v>3.1</v>
      </c>
      <c r="D70">
        <v>3</v>
      </c>
      <c r="E70">
        <v>69.900000000000006</v>
      </c>
      <c r="F70">
        <v>0.8</v>
      </c>
    </row>
    <row r="71" spans="1:6" x14ac:dyDescent="0.25">
      <c r="A71">
        <v>70</v>
      </c>
      <c r="B71">
        <v>16</v>
      </c>
      <c r="C71">
        <v>0.6</v>
      </c>
      <c r="D71">
        <v>1.6</v>
      </c>
      <c r="E71">
        <v>80.5</v>
      </c>
      <c r="F71">
        <v>1.5</v>
      </c>
    </row>
    <row r="72" spans="1:6" x14ac:dyDescent="0.25">
      <c r="A72">
        <v>71</v>
      </c>
      <c r="B72">
        <v>13</v>
      </c>
      <c r="C72">
        <v>2.8</v>
      </c>
      <c r="D72">
        <v>1.7</v>
      </c>
      <c r="E72">
        <v>74.8</v>
      </c>
      <c r="F72">
        <v>2.5</v>
      </c>
    </row>
    <row r="73" spans="1:6" x14ac:dyDescent="0.25">
      <c r="A73">
        <v>72</v>
      </c>
      <c r="B73">
        <v>17</v>
      </c>
      <c r="C73">
        <v>2.6</v>
      </c>
      <c r="D73">
        <v>5</v>
      </c>
      <c r="E73">
        <v>85.8</v>
      </c>
      <c r="F73">
        <v>2.1</v>
      </c>
    </row>
    <row r="74" spans="1:6" x14ac:dyDescent="0.25">
      <c r="A74">
        <v>73</v>
      </c>
      <c r="B74">
        <v>17</v>
      </c>
      <c r="C74">
        <v>2.2999999999999998</v>
      </c>
      <c r="D74">
        <v>3.8</v>
      </c>
      <c r="E74">
        <v>79.7</v>
      </c>
      <c r="F74">
        <v>2.2000000000000002</v>
      </c>
    </row>
    <row r="75" spans="1:6" x14ac:dyDescent="0.25">
      <c r="A75">
        <v>74</v>
      </c>
      <c r="B75">
        <v>14</v>
      </c>
      <c r="C75">
        <v>2</v>
      </c>
      <c r="D75">
        <v>5</v>
      </c>
      <c r="E75">
        <v>77.2</v>
      </c>
      <c r="F75">
        <v>2.6</v>
      </c>
    </row>
    <row r="76" spans="1:6" x14ac:dyDescent="0.25">
      <c r="A76">
        <v>75</v>
      </c>
      <c r="B76">
        <v>17</v>
      </c>
      <c r="C76">
        <v>1.9</v>
      </c>
      <c r="D76">
        <v>5.2</v>
      </c>
      <c r="E76">
        <v>66.5</v>
      </c>
      <c r="F76">
        <v>2.6</v>
      </c>
    </row>
    <row r="77" spans="1:6" x14ac:dyDescent="0.25">
      <c r="A77">
        <v>76</v>
      </c>
      <c r="B77">
        <v>14</v>
      </c>
      <c r="C77">
        <v>1.7</v>
      </c>
      <c r="D77">
        <v>4.2</v>
      </c>
      <c r="E77">
        <v>65.7</v>
      </c>
      <c r="F77">
        <v>2.2999999999999998</v>
      </c>
    </row>
    <row r="78" spans="1:6" x14ac:dyDescent="0.25">
      <c r="A78">
        <v>77</v>
      </c>
      <c r="B78">
        <v>13</v>
      </c>
      <c r="C78">
        <v>0.2</v>
      </c>
      <c r="D78">
        <v>2.2000000000000002</v>
      </c>
      <c r="E78">
        <v>69.5</v>
      </c>
      <c r="F78">
        <v>1.6</v>
      </c>
    </row>
    <row r="79" spans="1:6" x14ac:dyDescent="0.25">
      <c r="A79">
        <v>78</v>
      </c>
      <c r="B79">
        <v>16</v>
      </c>
      <c r="C79">
        <v>2.2000000000000002</v>
      </c>
      <c r="D79">
        <v>4.3</v>
      </c>
      <c r="E79">
        <v>88.4</v>
      </c>
      <c r="F79">
        <v>1.2</v>
      </c>
    </row>
    <row r="80" spans="1:6" x14ac:dyDescent="0.25">
      <c r="A80">
        <v>79</v>
      </c>
      <c r="B80">
        <v>16</v>
      </c>
      <c r="C80">
        <v>3.6</v>
      </c>
      <c r="D80">
        <v>6.1</v>
      </c>
      <c r="E80">
        <v>65.900000000000006</v>
      </c>
      <c r="F80">
        <v>1.6</v>
      </c>
    </row>
    <row r="81" spans="1:6" x14ac:dyDescent="0.25">
      <c r="A81">
        <v>80</v>
      </c>
      <c r="B81">
        <v>16</v>
      </c>
      <c r="C81">
        <v>2.2000000000000002</v>
      </c>
      <c r="D81">
        <v>3.3</v>
      </c>
      <c r="E81">
        <v>72.599999999999994</v>
      </c>
      <c r="F81">
        <v>1.1000000000000001</v>
      </c>
    </row>
    <row r="82" spans="1:6" x14ac:dyDescent="0.25">
      <c r="A82">
        <v>81</v>
      </c>
      <c r="B82">
        <v>17</v>
      </c>
      <c r="C82">
        <v>3.1</v>
      </c>
      <c r="D82">
        <v>4.5</v>
      </c>
      <c r="E82">
        <v>47.6</v>
      </c>
      <c r="F82">
        <v>0</v>
      </c>
    </row>
    <row r="83" spans="1:6" x14ac:dyDescent="0.25">
      <c r="A83">
        <v>82</v>
      </c>
      <c r="B83">
        <v>13</v>
      </c>
      <c r="C83">
        <v>1.4</v>
      </c>
      <c r="D83">
        <v>4</v>
      </c>
      <c r="E83">
        <v>76.8</v>
      </c>
      <c r="F83">
        <v>1.3</v>
      </c>
    </row>
    <row r="84" spans="1:6" x14ac:dyDescent="0.25">
      <c r="A84">
        <v>83</v>
      </c>
      <c r="B84">
        <v>17</v>
      </c>
      <c r="C84">
        <v>1.2</v>
      </c>
      <c r="D84">
        <v>6.1</v>
      </c>
      <c r="E84">
        <v>92.6</v>
      </c>
      <c r="F84">
        <v>1.8</v>
      </c>
    </row>
    <row r="85" spans="1:6" x14ac:dyDescent="0.25">
      <c r="A85">
        <v>84</v>
      </c>
      <c r="B85">
        <v>17</v>
      </c>
      <c r="C85">
        <v>1.7</v>
      </c>
      <c r="D85">
        <v>3</v>
      </c>
      <c r="E85">
        <v>60.7</v>
      </c>
      <c r="F85">
        <v>1</v>
      </c>
    </row>
    <row r="86" spans="1:6" x14ac:dyDescent="0.25">
      <c r="A86">
        <v>85</v>
      </c>
      <c r="B86">
        <v>13</v>
      </c>
      <c r="C86">
        <v>1.5</v>
      </c>
      <c r="D86">
        <v>5.7</v>
      </c>
      <c r="E86">
        <v>100</v>
      </c>
      <c r="F86">
        <v>1.3</v>
      </c>
    </row>
    <row r="87" spans="1:6" x14ac:dyDescent="0.25">
      <c r="A87">
        <v>86</v>
      </c>
      <c r="B87">
        <v>13</v>
      </c>
      <c r="C87">
        <v>1.3</v>
      </c>
      <c r="D87">
        <v>3.4</v>
      </c>
      <c r="E87">
        <v>71.8</v>
      </c>
      <c r="F87">
        <v>1.4</v>
      </c>
    </row>
    <row r="88" spans="1:6" x14ac:dyDescent="0.25">
      <c r="A88">
        <v>87</v>
      </c>
      <c r="B88">
        <v>13</v>
      </c>
      <c r="C88">
        <v>2.9</v>
      </c>
      <c r="D88">
        <v>3</v>
      </c>
      <c r="E88">
        <v>44.3</v>
      </c>
      <c r="F88">
        <v>2.6</v>
      </c>
    </row>
    <row r="89" spans="1:6" x14ac:dyDescent="0.25">
      <c r="A89">
        <v>88</v>
      </c>
      <c r="B89">
        <v>13</v>
      </c>
      <c r="C89">
        <v>4.3</v>
      </c>
      <c r="D89">
        <v>4.2</v>
      </c>
      <c r="E89">
        <v>66.099999999999994</v>
      </c>
      <c r="F89">
        <v>1.2</v>
      </c>
    </row>
    <row r="90" spans="1:6" x14ac:dyDescent="0.25">
      <c r="A90">
        <v>89</v>
      </c>
      <c r="B90">
        <v>16</v>
      </c>
      <c r="C90">
        <v>1.8</v>
      </c>
      <c r="D90">
        <v>4.5</v>
      </c>
      <c r="E90">
        <v>83.3</v>
      </c>
      <c r="F90">
        <v>2.6</v>
      </c>
    </row>
    <row r="91" spans="1:6" x14ac:dyDescent="0.25">
      <c r="A91">
        <v>90</v>
      </c>
      <c r="B91">
        <v>15</v>
      </c>
      <c r="D91">
        <v>6.9</v>
      </c>
      <c r="E91">
        <v>90</v>
      </c>
      <c r="F91">
        <v>0</v>
      </c>
    </row>
    <row r="92" spans="1:6" x14ac:dyDescent="0.25">
      <c r="A92">
        <v>91</v>
      </c>
      <c r="B92">
        <v>15</v>
      </c>
      <c r="C92">
        <v>3.2</v>
      </c>
      <c r="D92">
        <v>4.5</v>
      </c>
      <c r="E92">
        <v>77.2</v>
      </c>
      <c r="F92">
        <v>2.6</v>
      </c>
    </row>
    <row r="93" spans="1:6" x14ac:dyDescent="0.25">
      <c r="A93">
        <v>92</v>
      </c>
      <c r="B93">
        <v>13</v>
      </c>
      <c r="C93">
        <v>1.1000000000000001</v>
      </c>
      <c r="D93">
        <v>4.3</v>
      </c>
      <c r="E93">
        <v>85.7</v>
      </c>
      <c r="F93">
        <v>2.5</v>
      </c>
    </row>
    <row r="94" spans="1:6" x14ac:dyDescent="0.25">
      <c r="A94">
        <v>93</v>
      </c>
      <c r="B94">
        <v>15</v>
      </c>
      <c r="C94">
        <v>1.3</v>
      </c>
      <c r="D94">
        <v>6.4</v>
      </c>
      <c r="E94">
        <v>58.2</v>
      </c>
      <c r="F94">
        <v>2.2000000000000002</v>
      </c>
    </row>
    <row r="95" spans="1:6" x14ac:dyDescent="0.25">
      <c r="A95">
        <v>94</v>
      </c>
      <c r="B95">
        <v>15</v>
      </c>
      <c r="C95">
        <v>3</v>
      </c>
      <c r="D95">
        <v>4.9000000000000004</v>
      </c>
      <c r="E95">
        <v>63.2</v>
      </c>
      <c r="F95">
        <v>0</v>
      </c>
    </row>
    <row r="96" spans="1:6" x14ac:dyDescent="0.25">
      <c r="A96">
        <v>95</v>
      </c>
      <c r="B96">
        <v>13</v>
      </c>
      <c r="C96">
        <v>2.2999999999999998</v>
      </c>
      <c r="D96">
        <v>3</v>
      </c>
      <c r="E96">
        <v>53.2</v>
      </c>
      <c r="F96">
        <v>2.2999999999999998</v>
      </c>
    </row>
    <row r="97" spans="1:6" x14ac:dyDescent="0.25">
      <c r="A97">
        <v>96</v>
      </c>
      <c r="B97">
        <v>15</v>
      </c>
      <c r="C97">
        <v>1.8</v>
      </c>
      <c r="D97">
        <v>6</v>
      </c>
      <c r="E97">
        <v>63.9</v>
      </c>
      <c r="F97">
        <v>1.5</v>
      </c>
    </row>
    <row r="98" spans="1:6" x14ac:dyDescent="0.25">
      <c r="A98">
        <v>97</v>
      </c>
      <c r="B98">
        <v>17</v>
      </c>
      <c r="C98">
        <v>2.6</v>
      </c>
      <c r="D98">
        <v>2.9</v>
      </c>
      <c r="E98">
        <v>77.599999999999994</v>
      </c>
      <c r="F98">
        <v>0</v>
      </c>
    </row>
    <row r="99" spans="1:6" x14ac:dyDescent="0.25">
      <c r="A99">
        <v>98</v>
      </c>
      <c r="B99">
        <v>14</v>
      </c>
      <c r="C99">
        <v>2.1</v>
      </c>
      <c r="D99">
        <v>3</v>
      </c>
      <c r="E99">
        <v>72.099999999999994</v>
      </c>
      <c r="F99">
        <v>2.5</v>
      </c>
    </row>
    <row r="100" spans="1:6" x14ac:dyDescent="0.25">
      <c r="A100">
        <v>99</v>
      </c>
      <c r="B100">
        <v>14</v>
      </c>
      <c r="C100">
        <v>4.4000000000000004</v>
      </c>
      <c r="D100">
        <v>2.7</v>
      </c>
      <c r="E100">
        <v>78.7</v>
      </c>
      <c r="F100">
        <v>2.7</v>
      </c>
    </row>
    <row r="101" spans="1:6" x14ac:dyDescent="0.25">
      <c r="A101">
        <v>100</v>
      </c>
      <c r="B101">
        <v>13</v>
      </c>
      <c r="C101">
        <v>1.8</v>
      </c>
      <c r="D101">
        <v>2.6</v>
      </c>
      <c r="E101">
        <v>60.6</v>
      </c>
      <c r="F101">
        <v>0</v>
      </c>
    </row>
    <row r="102" spans="1:6" x14ac:dyDescent="0.25">
      <c r="A102">
        <v>101</v>
      </c>
      <c r="B102">
        <v>16</v>
      </c>
      <c r="C102">
        <v>1.6</v>
      </c>
      <c r="D102">
        <v>4.5</v>
      </c>
      <c r="E102">
        <v>61.2</v>
      </c>
      <c r="F102">
        <v>1.6</v>
      </c>
    </row>
    <row r="103" spans="1:6" x14ac:dyDescent="0.25">
      <c r="A103">
        <v>102</v>
      </c>
      <c r="B103">
        <v>13</v>
      </c>
      <c r="C103">
        <v>2</v>
      </c>
      <c r="D103">
        <v>3.6</v>
      </c>
      <c r="E103">
        <v>72</v>
      </c>
      <c r="F103">
        <v>2.6</v>
      </c>
    </row>
    <row r="104" spans="1:6" x14ac:dyDescent="0.25">
      <c r="A104">
        <v>103</v>
      </c>
      <c r="B104">
        <v>16</v>
      </c>
      <c r="C104">
        <v>2.1</v>
      </c>
      <c r="D104">
        <v>0</v>
      </c>
      <c r="E104">
        <v>64</v>
      </c>
      <c r="F104">
        <v>2.5</v>
      </c>
    </row>
    <row r="105" spans="1:6" x14ac:dyDescent="0.25">
      <c r="A105">
        <v>104</v>
      </c>
      <c r="B105">
        <v>14</v>
      </c>
      <c r="D105">
        <v>3.6</v>
      </c>
      <c r="E105">
        <v>83</v>
      </c>
      <c r="F105">
        <v>2.2000000000000002</v>
      </c>
    </row>
    <row r="106" spans="1:6" x14ac:dyDescent="0.25">
      <c r="A106">
        <v>105</v>
      </c>
      <c r="B106">
        <v>13</v>
      </c>
      <c r="C106">
        <v>0.5</v>
      </c>
      <c r="D106">
        <v>3.2</v>
      </c>
      <c r="E106">
        <v>63.7</v>
      </c>
      <c r="F106">
        <v>0</v>
      </c>
    </row>
    <row r="107" spans="1:6" x14ac:dyDescent="0.25">
      <c r="A107">
        <v>106</v>
      </c>
      <c r="B107">
        <v>17</v>
      </c>
      <c r="C107">
        <v>2.9</v>
      </c>
      <c r="D107">
        <v>5.3</v>
      </c>
      <c r="E107">
        <v>65</v>
      </c>
      <c r="F107">
        <v>2.1</v>
      </c>
    </row>
    <row r="108" spans="1:6" x14ac:dyDescent="0.25">
      <c r="A108">
        <v>107</v>
      </c>
      <c r="B108">
        <v>15</v>
      </c>
      <c r="C108">
        <v>2</v>
      </c>
      <c r="D108">
        <v>3.2</v>
      </c>
      <c r="E108">
        <v>74.2</v>
      </c>
      <c r="F108">
        <v>1.3</v>
      </c>
    </row>
    <row r="109" spans="1:6" x14ac:dyDescent="0.25">
      <c r="A109">
        <v>108</v>
      </c>
      <c r="B109">
        <v>16</v>
      </c>
      <c r="C109">
        <v>3.3</v>
      </c>
      <c r="D109">
        <v>7.8</v>
      </c>
      <c r="E109">
        <v>66.099999999999994</v>
      </c>
      <c r="F109">
        <v>2.2999999999999998</v>
      </c>
    </row>
    <row r="110" spans="1:6" x14ac:dyDescent="0.25">
      <c r="A110">
        <v>109</v>
      </c>
      <c r="B110">
        <v>15</v>
      </c>
      <c r="C110">
        <v>2.5</v>
      </c>
      <c r="D110">
        <v>6.1</v>
      </c>
      <c r="E110">
        <v>57.7</v>
      </c>
      <c r="F110">
        <v>1.7</v>
      </c>
    </row>
    <row r="111" spans="1:6" x14ac:dyDescent="0.25">
      <c r="A111">
        <v>110</v>
      </c>
      <c r="B111">
        <v>15</v>
      </c>
      <c r="C111">
        <v>3</v>
      </c>
      <c r="D111">
        <v>3.4</v>
      </c>
      <c r="E111">
        <v>59</v>
      </c>
      <c r="F111">
        <v>1.5</v>
      </c>
    </row>
    <row r="112" spans="1:6" x14ac:dyDescent="0.25">
      <c r="A112">
        <v>111</v>
      </c>
      <c r="B112">
        <v>13</v>
      </c>
      <c r="C112">
        <v>2.1</v>
      </c>
      <c r="D112">
        <v>5.7</v>
      </c>
      <c r="E112">
        <v>75.400000000000006</v>
      </c>
      <c r="F112">
        <v>2</v>
      </c>
    </row>
    <row r="113" spans="1:6" x14ac:dyDescent="0.25">
      <c r="A113">
        <v>112</v>
      </c>
      <c r="B113">
        <v>15</v>
      </c>
      <c r="C113">
        <v>2.9</v>
      </c>
      <c r="E113">
        <v>56.4</v>
      </c>
      <c r="F113">
        <v>1.4</v>
      </c>
    </row>
    <row r="114" spans="1:6" x14ac:dyDescent="0.25">
      <c r="A114">
        <v>113</v>
      </c>
      <c r="B114">
        <v>17</v>
      </c>
      <c r="C114">
        <v>4.2</v>
      </c>
      <c r="D114">
        <v>4.4000000000000004</v>
      </c>
      <c r="E114">
        <v>84</v>
      </c>
      <c r="F114">
        <v>1.5</v>
      </c>
    </row>
    <row r="115" spans="1:6" x14ac:dyDescent="0.25">
      <c r="A115">
        <v>114</v>
      </c>
      <c r="B115">
        <v>15</v>
      </c>
      <c r="C115">
        <v>1.8</v>
      </c>
      <c r="D115">
        <v>5.2</v>
      </c>
      <c r="E115">
        <v>63.1</v>
      </c>
      <c r="F115">
        <v>1.1000000000000001</v>
      </c>
    </row>
    <row r="116" spans="1:6" x14ac:dyDescent="0.25">
      <c r="A116">
        <v>115</v>
      </c>
      <c r="B116">
        <v>13</v>
      </c>
      <c r="C116">
        <v>2.4</v>
      </c>
      <c r="D116">
        <v>4.0999999999999996</v>
      </c>
      <c r="E116">
        <v>76.2</v>
      </c>
      <c r="F116">
        <v>0.2</v>
      </c>
    </row>
    <row r="117" spans="1:6" x14ac:dyDescent="0.25">
      <c r="A117">
        <v>116</v>
      </c>
      <c r="B117">
        <v>17</v>
      </c>
      <c r="C117">
        <v>2</v>
      </c>
      <c r="D117">
        <v>4.4000000000000004</v>
      </c>
      <c r="E117">
        <v>63.7</v>
      </c>
      <c r="F117">
        <v>2</v>
      </c>
    </row>
    <row r="118" spans="1:6" x14ac:dyDescent="0.25">
      <c r="A118">
        <v>117</v>
      </c>
      <c r="B118">
        <v>14</v>
      </c>
      <c r="C118">
        <v>4.0999999999999996</v>
      </c>
      <c r="D118">
        <v>5.2</v>
      </c>
      <c r="E118">
        <v>60.8</v>
      </c>
      <c r="F118">
        <v>0.9</v>
      </c>
    </row>
    <row r="119" spans="1:6" x14ac:dyDescent="0.25">
      <c r="A119">
        <v>118</v>
      </c>
      <c r="B119">
        <v>15</v>
      </c>
      <c r="C119">
        <v>2.1</v>
      </c>
      <c r="D119">
        <v>7.1</v>
      </c>
      <c r="E119">
        <v>72.5</v>
      </c>
      <c r="F119">
        <v>1.3</v>
      </c>
    </row>
    <row r="120" spans="1:6" x14ac:dyDescent="0.25">
      <c r="A120">
        <v>119</v>
      </c>
      <c r="B120">
        <v>13</v>
      </c>
      <c r="C120">
        <v>1.8</v>
      </c>
      <c r="D120">
        <v>4.4000000000000004</v>
      </c>
      <c r="E120">
        <v>80.5</v>
      </c>
      <c r="F120">
        <v>1.7</v>
      </c>
    </row>
    <row r="121" spans="1:6" x14ac:dyDescent="0.25">
      <c r="A121">
        <v>120</v>
      </c>
      <c r="B121">
        <v>14</v>
      </c>
      <c r="C121">
        <v>1.9</v>
      </c>
      <c r="D121">
        <v>3.3</v>
      </c>
      <c r="E121">
        <v>67.5</v>
      </c>
      <c r="F121">
        <v>0</v>
      </c>
    </row>
    <row r="122" spans="1:6" x14ac:dyDescent="0.25">
      <c r="A122">
        <v>121</v>
      </c>
      <c r="B122">
        <v>14</v>
      </c>
      <c r="C122">
        <v>2.4</v>
      </c>
      <c r="D122">
        <v>1</v>
      </c>
      <c r="E122">
        <v>69.3</v>
      </c>
      <c r="F122">
        <v>0</v>
      </c>
    </row>
    <row r="123" spans="1:6" x14ac:dyDescent="0.25">
      <c r="A123">
        <v>122</v>
      </c>
      <c r="B123">
        <v>16</v>
      </c>
      <c r="C123">
        <v>1.7</v>
      </c>
      <c r="D123">
        <v>6.9</v>
      </c>
      <c r="E123">
        <v>78.099999999999994</v>
      </c>
      <c r="F123">
        <v>1.3</v>
      </c>
    </row>
    <row r="124" spans="1:6" x14ac:dyDescent="0.25">
      <c r="A124">
        <v>123</v>
      </c>
      <c r="B124">
        <v>17</v>
      </c>
      <c r="C124">
        <v>2.1</v>
      </c>
      <c r="D124">
        <v>3.6</v>
      </c>
      <c r="E124">
        <v>78.400000000000006</v>
      </c>
      <c r="F124">
        <v>1.9</v>
      </c>
    </row>
    <row r="125" spans="1:6" x14ac:dyDescent="0.25">
      <c r="A125">
        <v>124</v>
      </c>
      <c r="B125">
        <v>15</v>
      </c>
      <c r="C125">
        <v>2.7</v>
      </c>
      <c r="D125">
        <v>4.8</v>
      </c>
      <c r="E125">
        <v>69.599999999999994</v>
      </c>
      <c r="F125">
        <v>2.1</v>
      </c>
    </row>
    <row r="126" spans="1:6" x14ac:dyDescent="0.25">
      <c r="A126">
        <v>125</v>
      </c>
      <c r="B126">
        <v>13</v>
      </c>
      <c r="C126">
        <v>2.4</v>
      </c>
      <c r="D126">
        <v>6.9</v>
      </c>
      <c r="E126">
        <v>65.599999999999994</v>
      </c>
      <c r="F126">
        <v>0.2</v>
      </c>
    </row>
    <row r="127" spans="1:6" x14ac:dyDescent="0.25">
      <c r="A127">
        <v>126</v>
      </c>
      <c r="B127">
        <v>16</v>
      </c>
      <c r="C127">
        <v>3.3</v>
      </c>
      <c r="D127">
        <v>4.3</v>
      </c>
      <c r="E127">
        <v>70.8</v>
      </c>
      <c r="F127">
        <v>2</v>
      </c>
    </row>
    <row r="128" spans="1:6" x14ac:dyDescent="0.25">
      <c r="A128">
        <v>127</v>
      </c>
      <c r="B128">
        <v>17</v>
      </c>
      <c r="C128">
        <v>2.2000000000000002</v>
      </c>
      <c r="D128">
        <v>3.7</v>
      </c>
      <c r="E128">
        <v>68.099999999999994</v>
      </c>
      <c r="F128">
        <v>1.3</v>
      </c>
    </row>
    <row r="129" spans="1:6" x14ac:dyDescent="0.25">
      <c r="A129">
        <v>128</v>
      </c>
      <c r="B129">
        <v>16</v>
      </c>
      <c r="C129">
        <v>2.2999999999999998</v>
      </c>
      <c r="D129">
        <v>6.1</v>
      </c>
      <c r="E129">
        <v>73.099999999999994</v>
      </c>
      <c r="F129">
        <v>0.8</v>
      </c>
    </row>
    <row r="130" spans="1:6" x14ac:dyDescent="0.25">
      <c r="A130">
        <v>129</v>
      </c>
      <c r="B130">
        <v>17</v>
      </c>
      <c r="C130">
        <v>2.8</v>
      </c>
      <c r="D130">
        <v>4.7</v>
      </c>
      <c r="E130">
        <v>58.1</v>
      </c>
      <c r="F130">
        <v>1</v>
      </c>
    </row>
    <row r="131" spans="1:6" x14ac:dyDescent="0.25">
      <c r="A131">
        <v>130</v>
      </c>
      <c r="B131">
        <v>17</v>
      </c>
      <c r="C131">
        <v>4.7</v>
      </c>
      <c r="D131">
        <v>4.9000000000000004</v>
      </c>
      <c r="E131">
        <v>72.8</v>
      </c>
      <c r="F131">
        <v>2.1</v>
      </c>
    </row>
    <row r="132" spans="1:6" x14ac:dyDescent="0.25">
      <c r="A132">
        <v>131</v>
      </c>
      <c r="B132">
        <v>15</v>
      </c>
      <c r="C132">
        <v>1.7</v>
      </c>
      <c r="D132">
        <v>1.7</v>
      </c>
      <c r="E132">
        <v>62.8</v>
      </c>
      <c r="F132">
        <v>1.7</v>
      </c>
    </row>
    <row r="133" spans="1:6" x14ac:dyDescent="0.25">
      <c r="A133">
        <v>132</v>
      </c>
      <c r="B133">
        <v>17</v>
      </c>
      <c r="C133">
        <v>4.4000000000000004</v>
      </c>
      <c r="D133">
        <v>5.8</v>
      </c>
      <c r="E133">
        <v>79.099999999999994</v>
      </c>
      <c r="F133">
        <v>1.5</v>
      </c>
    </row>
    <row r="134" spans="1:6" x14ac:dyDescent="0.25">
      <c r="A134">
        <v>133</v>
      </c>
      <c r="B134">
        <v>16</v>
      </c>
      <c r="C134">
        <v>1.3</v>
      </c>
      <c r="D134">
        <v>4.5999999999999996</v>
      </c>
      <c r="E134">
        <v>63.3</v>
      </c>
      <c r="F134">
        <v>1.7</v>
      </c>
    </row>
    <row r="135" spans="1:6" x14ac:dyDescent="0.25">
      <c r="A135">
        <v>134</v>
      </c>
      <c r="B135">
        <v>17</v>
      </c>
      <c r="C135">
        <v>2.7</v>
      </c>
      <c r="D135">
        <v>1.9</v>
      </c>
      <c r="E135">
        <v>63.4</v>
      </c>
      <c r="F135">
        <v>2.2000000000000002</v>
      </c>
    </row>
    <row r="136" spans="1:6" x14ac:dyDescent="0.25">
      <c r="A136">
        <v>135</v>
      </c>
      <c r="B136">
        <v>15</v>
      </c>
      <c r="D136">
        <v>4.7</v>
      </c>
      <c r="E136">
        <v>74.5</v>
      </c>
      <c r="F136">
        <v>1.4</v>
      </c>
    </row>
    <row r="137" spans="1:6" x14ac:dyDescent="0.25">
      <c r="A137">
        <v>136</v>
      </c>
      <c r="B137">
        <v>15</v>
      </c>
      <c r="C137">
        <v>1.7</v>
      </c>
      <c r="D137">
        <v>0.9</v>
      </c>
      <c r="E137">
        <v>70.099999999999994</v>
      </c>
      <c r="F137">
        <v>1.5</v>
      </c>
    </row>
    <row r="138" spans="1:6" x14ac:dyDescent="0.25">
      <c r="A138">
        <v>137</v>
      </c>
      <c r="B138">
        <v>16</v>
      </c>
      <c r="C138">
        <v>3.2</v>
      </c>
      <c r="D138">
        <v>7.5</v>
      </c>
      <c r="E138">
        <v>92.8</v>
      </c>
      <c r="F138">
        <v>2.4</v>
      </c>
    </row>
    <row r="139" spans="1:6" x14ac:dyDescent="0.25">
      <c r="A139">
        <v>138</v>
      </c>
      <c r="B139">
        <v>14</v>
      </c>
      <c r="C139">
        <v>3.1</v>
      </c>
      <c r="D139">
        <v>2.2999999999999998</v>
      </c>
      <c r="F139">
        <v>1.2</v>
      </c>
    </row>
    <row r="140" spans="1:6" x14ac:dyDescent="0.25">
      <c r="A140">
        <v>139</v>
      </c>
      <c r="B140">
        <v>14</v>
      </c>
      <c r="C140">
        <v>2</v>
      </c>
      <c r="D140">
        <v>6.4</v>
      </c>
      <c r="E140">
        <v>71.099999999999994</v>
      </c>
      <c r="F140">
        <v>2</v>
      </c>
    </row>
    <row r="141" spans="1:6" x14ac:dyDescent="0.25">
      <c r="A141">
        <v>140</v>
      </c>
      <c r="B141">
        <v>17</v>
      </c>
      <c r="C141">
        <v>0.4</v>
      </c>
      <c r="D141">
        <v>2.8</v>
      </c>
      <c r="E141">
        <v>81.3</v>
      </c>
      <c r="F141">
        <v>1.1000000000000001</v>
      </c>
    </row>
    <row r="142" spans="1:6" x14ac:dyDescent="0.25">
      <c r="A142">
        <v>141</v>
      </c>
      <c r="B142">
        <v>13</v>
      </c>
      <c r="C142">
        <v>2.1</v>
      </c>
      <c r="D142">
        <v>4.8</v>
      </c>
      <c r="E142">
        <v>64.2</v>
      </c>
      <c r="F142">
        <v>1.2</v>
      </c>
    </row>
    <row r="143" spans="1:6" x14ac:dyDescent="0.25">
      <c r="A143">
        <v>142</v>
      </c>
      <c r="B143">
        <v>17</v>
      </c>
      <c r="C143">
        <v>2.6</v>
      </c>
      <c r="D143">
        <v>2.6</v>
      </c>
      <c r="E143">
        <v>60.9</v>
      </c>
      <c r="F143">
        <v>1.4</v>
      </c>
    </row>
    <row r="144" spans="1:6" x14ac:dyDescent="0.25">
      <c r="A144">
        <v>143</v>
      </c>
      <c r="B144">
        <v>16</v>
      </c>
      <c r="C144">
        <v>2.5</v>
      </c>
      <c r="D144">
        <v>5.5</v>
      </c>
      <c r="E144">
        <v>61.3</v>
      </c>
      <c r="F144">
        <v>1.9</v>
      </c>
    </row>
    <row r="145" spans="1:6" x14ac:dyDescent="0.25">
      <c r="A145">
        <v>144</v>
      </c>
      <c r="B145">
        <v>16</v>
      </c>
      <c r="C145">
        <v>3.3</v>
      </c>
      <c r="D145">
        <v>3.6</v>
      </c>
      <c r="E145">
        <v>53.9</v>
      </c>
      <c r="F145">
        <v>2.5</v>
      </c>
    </row>
    <row r="146" spans="1:6" x14ac:dyDescent="0.25">
      <c r="A146">
        <v>145</v>
      </c>
      <c r="B146">
        <v>16</v>
      </c>
      <c r="C146">
        <v>4.4000000000000004</v>
      </c>
      <c r="D146">
        <v>4.7</v>
      </c>
      <c r="E146">
        <v>83.5</v>
      </c>
      <c r="F146">
        <v>1.6</v>
      </c>
    </row>
    <row r="147" spans="1:6" x14ac:dyDescent="0.25">
      <c r="A147">
        <v>146</v>
      </c>
      <c r="B147">
        <v>16</v>
      </c>
      <c r="C147">
        <v>2.9</v>
      </c>
      <c r="D147">
        <v>4</v>
      </c>
      <c r="E147">
        <v>66.7</v>
      </c>
      <c r="F147">
        <v>0.3</v>
      </c>
    </row>
    <row r="148" spans="1:6" x14ac:dyDescent="0.25">
      <c r="A148">
        <v>147</v>
      </c>
      <c r="B148">
        <v>16</v>
      </c>
      <c r="C148">
        <v>3.1</v>
      </c>
      <c r="D148">
        <v>2</v>
      </c>
      <c r="E148">
        <v>65.5</v>
      </c>
      <c r="F148">
        <v>2</v>
      </c>
    </row>
    <row r="149" spans="1:6" x14ac:dyDescent="0.25">
      <c r="A149">
        <v>148</v>
      </c>
      <c r="B149">
        <v>15</v>
      </c>
      <c r="C149">
        <v>2.6</v>
      </c>
      <c r="D149">
        <v>4.8</v>
      </c>
      <c r="E149">
        <v>48.8</v>
      </c>
      <c r="F149">
        <v>3.5</v>
      </c>
    </row>
    <row r="150" spans="1:6" x14ac:dyDescent="0.25">
      <c r="A150">
        <v>149</v>
      </c>
      <c r="B150">
        <v>14</v>
      </c>
      <c r="C150">
        <v>3.7</v>
      </c>
      <c r="D150">
        <v>3.2</v>
      </c>
      <c r="E150">
        <v>55.7</v>
      </c>
      <c r="F150">
        <v>1.6</v>
      </c>
    </row>
    <row r="151" spans="1:6" x14ac:dyDescent="0.25">
      <c r="A151">
        <v>150</v>
      </c>
      <c r="B151">
        <v>16</v>
      </c>
      <c r="C151">
        <v>3</v>
      </c>
      <c r="D151">
        <v>5.6</v>
      </c>
      <c r="E151">
        <v>84.7</v>
      </c>
      <c r="F151">
        <v>0.1</v>
      </c>
    </row>
    <row r="152" spans="1:6" x14ac:dyDescent="0.25">
      <c r="A152">
        <v>151</v>
      </c>
      <c r="B152">
        <v>13</v>
      </c>
      <c r="C152">
        <v>3.2</v>
      </c>
      <c r="D152">
        <v>3.6</v>
      </c>
      <c r="E152">
        <v>73</v>
      </c>
      <c r="F152">
        <v>1.6</v>
      </c>
    </row>
    <row r="153" spans="1:6" x14ac:dyDescent="0.25">
      <c r="A153">
        <v>152</v>
      </c>
      <c r="B153">
        <v>13</v>
      </c>
      <c r="C153">
        <v>4.3</v>
      </c>
      <c r="D153">
        <v>3.9</v>
      </c>
      <c r="E153">
        <v>81.7</v>
      </c>
      <c r="F153">
        <v>1.5</v>
      </c>
    </row>
    <row r="154" spans="1:6" x14ac:dyDescent="0.25">
      <c r="A154">
        <v>153</v>
      </c>
      <c r="B154">
        <v>13</v>
      </c>
      <c r="C154">
        <v>2.7</v>
      </c>
      <c r="D154">
        <v>6.5</v>
      </c>
      <c r="E154">
        <v>80.400000000000006</v>
      </c>
      <c r="F154">
        <v>1.4</v>
      </c>
    </row>
    <row r="155" spans="1:6" x14ac:dyDescent="0.25">
      <c r="A155">
        <v>154</v>
      </c>
      <c r="B155">
        <v>13</v>
      </c>
      <c r="C155">
        <v>2.2000000000000002</v>
      </c>
      <c r="D155">
        <v>7.6</v>
      </c>
      <c r="E155">
        <v>60</v>
      </c>
      <c r="F155">
        <v>2.2999999999999998</v>
      </c>
    </row>
    <row r="156" spans="1:6" x14ac:dyDescent="0.25">
      <c r="A156">
        <v>155</v>
      </c>
      <c r="B156">
        <v>15</v>
      </c>
      <c r="C156">
        <v>2.9</v>
      </c>
      <c r="D156">
        <v>5.2</v>
      </c>
      <c r="E156">
        <v>94.3</v>
      </c>
      <c r="F156">
        <v>2.6</v>
      </c>
    </row>
    <row r="157" spans="1:6" x14ac:dyDescent="0.25">
      <c r="A157">
        <v>156</v>
      </c>
      <c r="B157">
        <v>13</v>
      </c>
      <c r="C157">
        <v>3.6</v>
      </c>
      <c r="D157">
        <v>3.6</v>
      </c>
      <c r="E157">
        <v>89.5</v>
      </c>
      <c r="F157">
        <v>2</v>
      </c>
    </row>
    <row r="158" spans="1:6" x14ac:dyDescent="0.25">
      <c r="A158">
        <v>157</v>
      </c>
      <c r="B158">
        <v>16</v>
      </c>
      <c r="C158">
        <v>3</v>
      </c>
      <c r="D158">
        <v>3.4</v>
      </c>
      <c r="E158">
        <v>64.400000000000006</v>
      </c>
      <c r="F158">
        <v>1.4</v>
      </c>
    </row>
    <row r="159" spans="1:6" x14ac:dyDescent="0.25">
      <c r="A159">
        <v>158</v>
      </c>
      <c r="B159">
        <v>17</v>
      </c>
      <c r="C159">
        <v>3.6</v>
      </c>
      <c r="D159">
        <v>2.8</v>
      </c>
      <c r="E159">
        <v>34.299999999999997</v>
      </c>
      <c r="F159">
        <v>2.4</v>
      </c>
    </row>
    <row r="160" spans="1:6" x14ac:dyDescent="0.25">
      <c r="A160">
        <v>159</v>
      </c>
      <c r="B160">
        <v>13</v>
      </c>
      <c r="C160">
        <v>1.8</v>
      </c>
      <c r="D160">
        <v>3.1</v>
      </c>
      <c r="E160">
        <v>66.400000000000006</v>
      </c>
      <c r="F160">
        <v>0.3</v>
      </c>
    </row>
    <row r="161" spans="1:6" x14ac:dyDescent="0.25">
      <c r="A161">
        <v>160</v>
      </c>
      <c r="B161">
        <v>15</v>
      </c>
      <c r="C161">
        <v>1.6</v>
      </c>
      <c r="D161">
        <v>3.6</v>
      </c>
      <c r="E161">
        <v>72.400000000000006</v>
      </c>
      <c r="F161">
        <v>0.9</v>
      </c>
    </row>
    <row r="162" spans="1:6" x14ac:dyDescent="0.25">
      <c r="A162">
        <v>161</v>
      </c>
      <c r="B162">
        <v>15</v>
      </c>
      <c r="C162">
        <v>2</v>
      </c>
      <c r="D162">
        <v>6.9</v>
      </c>
      <c r="E162">
        <v>64.3</v>
      </c>
      <c r="F162">
        <v>1</v>
      </c>
    </row>
    <row r="163" spans="1:6" x14ac:dyDescent="0.25">
      <c r="A163">
        <v>162</v>
      </c>
      <c r="B163">
        <v>13</v>
      </c>
      <c r="C163">
        <v>1.2</v>
      </c>
      <c r="D163">
        <v>3.7</v>
      </c>
      <c r="E163">
        <v>67.8</v>
      </c>
      <c r="F163">
        <v>1.5</v>
      </c>
    </row>
    <row r="164" spans="1:6" x14ac:dyDescent="0.25">
      <c r="A164">
        <v>163</v>
      </c>
      <c r="B164">
        <v>17</v>
      </c>
      <c r="C164">
        <v>2.6</v>
      </c>
      <c r="D164">
        <v>2.2000000000000002</v>
      </c>
      <c r="E164">
        <v>61.7</v>
      </c>
      <c r="F164">
        <v>1.9</v>
      </c>
    </row>
    <row r="165" spans="1:6" x14ac:dyDescent="0.25">
      <c r="A165">
        <v>164</v>
      </c>
      <c r="B165">
        <v>13</v>
      </c>
      <c r="C165">
        <v>2.1</v>
      </c>
      <c r="D165">
        <v>4.0999999999999996</v>
      </c>
      <c r="E165">
        <v>79.2</v>
      </c>
      <c r="F165">
        <v>1.3</v>
      </c>
    </row>
    <row r="166" spans="1:6" x14ac:dyDescent="0.25">
      <c r="A166">
        <v>165</v>
      </c>
      <c r="B166">
        <v>15</v>
      </c>
      <c r="C166">
        <v>3.7</v>
      </c>
      <c r="D166">
        <v>4.3</v>
      </c>
      <c r="E166">
        <v>70.599999999999994</v>
      </c>
      <c r="F166">
        <v>0.8</v>
      </c>
    </row>
    <row r="167" spans="1:6" x14ac:dyDescent="0.25">
      <c r="A167">
        <v>166</v>
      </c>
      <c r="B167">
        <v>14</v>
      </c>
      <c r="C167">
        <v>1.2</v>
      </c>
      <c r="D167">
        <v>4.0999999999999996</v>
      </c>
      <c r="E167">
        <v>79.5</v>
      </c>
      <c r="F167">
        <v>2.2999999999999998</v>
      </c>
    </row>
    <row r="168" spans="1:6" x14ac:dyDescent="0.25">
      <c r="A168">
        <v>167</v>
      </c>
      <c r="B168">
        <v>16</v>
      </c>
      <c r="C168">
        <v>4.0999999999999996</v>
      </c>
      <c r="D168">
        <v>5.2</v>
      </c>
      <c r="E168">
        <v>82.2</v>
      </c>
      <c r="F168">
        <v>1.3</v>
      </c>
    </row>
    <row r="169" spans="1:6" x14ac:dyDescent="0.25">
      <c r="A169">
        <v>168</v>
      </c>
      <c r="B169">
        <v>15</v>
      </c>
      <c r="C169">
        <v>1.5</v>
      </c>
      <c r="D169">
        <v>4.0999999999999996</v>
      </c>
      <c r="E169">
        <v>48.3</v>
      </c>
      <c r="F169">
        <v>1.6</v>
      </c>
    </row>
    <row r="170" spans="1:6" x14ac:dyDescent="0.25">
      <c r="A170">
        <v>169</v>
      </c>
      <c r="B170">
        <v>13</v>
      </c>
      <c r="C170">
        <v>1.3</v>
      </c>
      <c r="D170">
        <v>5.2</v>
      </c>
      <c r="E170">
        <v>62.3</v>
      </c>
      <c r="F170">
        <v>1.9</v>
      </c>
    </row>
    <row r="171" spans="1:6" x14ac:dyDescent="0.25">
      <c r="A171">
        <v>170</v>
      </c>
      <c r="B171">
        <v>16</v>
      </c>
      <c r="C171">
        <v>1.7</v>
      </c>
      <c r="D171">
        <v>2.8</v>
      </c>
      <c r="E171">
        <v>63.8</v>
      </c>
      <c r="F171">
        <v>1.5</v>
      </c>
    </row>
    <row r="172" spans="1:6" x14ac:dyDescent="0.25">
      <c r="A172">
        <v>171</v>
      </c>
      <c r="B172">
        <v>13</v>
      </c>
      <c r="C172">
        <v>4.5</v>
      </c>
      <c r="E172">
        <v>95.7</v>
      </c>
      <c r="F172">
        <v>1.5</v>
      </c>
    </row>
    <row r="173" spans="1:6" x14ac:dyDescent="0.25">
      <c r="A173">
        <v>172</v>
      </c>
      <c r="B173">
        <v>13</v>
      </c>
      <c r="C173">
        <v>2.5</v>
      </c>
      <c r="D173">
        <v>4.4000000000000004</v>
      </c>
      <c r="E173">
        <v>71.5</v>
      </c>
      <c r="F173">
        <v>2.2999999999999998</v>
      </c>
    </row>
    <row r="174" spans="1:6" x14ac:dyDescent="0.25">
      <c r="A174">
        <v>173</v>
      </c>
      <c r="B174">
        <v>14</v>
      </c>
      <c r="C174">
        <v>3</v>
      </c>
      <c r="D174">
        <v>4.5999999999999996</v>
      </c>
      <c r="F174">
        <v>1.6</v>
      </c>
    </row>
    <row r="175" spans="1:6" x14ac:dyDescent="0.25">
      <c r="A175">
        <v>174</v>
      </c>
      <c r="B175">
        <v>16</v>
      </c>
      <c r="C175">
        <v>2.2999999999999998</v>
      </c>
      <c r="D175">
        <v>2.8</v>
      </c>
      <c r="E175">
        <v>51.2</v>
      </c>
      <c r="F175">
        <v>2.2000000000000002</v>
      </c>
    </row>
    <row r="176" spans="1:6" x14ac:dyDescent="0.25">
      <c r="A176">
        <v>175</v>
      </c>
      <c r="B176">
        <v>16</v>
      </c>
      <c r="C176">
        <v>2.4</v>
      </c>
      <c r="D176">
        <v>4.7</v>
      </c>
      <c r="E176">
        <v>71.400000000000006</v>
      </c>
      <c r="F176">
        <v>1.9</v>
      </c>
    </row>
    <row r="177" spans="1:6" x14ac:dyDescent="0.25">
      <c r="A177">
        <v>176</v>
      </c>
      <c r="B177">
        <v>14</v>
      </c>
      <c r="C177">
        <v>2</v>
      </c>
      <c r="D177">
        <v>5</v>
      </c>
      <c r="E177">
        <v>79.8</v>
      </c>
      <c r="F177">
        <v>3.1</v>
      </c>
    </row>
    <row r="178" spans="1:6" x14ac:dyDescent="0.25">
      <c r="A178">
        <v>177</v>
      </c>
      <c r="B178">
        <v>15</v>
      </c>
      <c r="C178">
        <v>2.6</v>
      </c>
      <c r="D178">
        <v>2.2000000000000002</v>
      </c>
      <c r="E178">
        <v>78.599999999999994</v>
      </c>
      <c r="F178">
        <v>1.8</v>
      </c>
    </row>
    <row r="179" spans="1:6" x14ac:dyDescent="0.25">
      <c r="A179">
        <v>178</v>
      </c>
      <c r="B179">
        <v>13</v>
      </c>
      <c r="C179">
        <v>3</v>
      </c>
      <c r="D179">
        <v>1.5</v>
      </c>
      <c r="E179">
        <v>76.2</v>
      </c>
      <c r="F179">
        <v>2</v>
      </c>
    </row>
    <row r="180" spans="1:6" x14ac:dyDescent="0.25">
      <c r="A180">
        <v>179</v>
      </c>
      <c r="B180">
        <v>17</v>
      </c>
      <c r="C180">
        <v>4.2</v>
      </c>
      <c r="D180">
        <v>4.4000000000000004</v>
      </c>
      <c r="E180">
        <v>70.099999999999994</v>
      </c>
      <c r="F180">
        <v>2.4</v>
      </c>
    </row>
    <row r="181" spans="1:6" x14ac:dyDescent="0.25">
      <c r="A181">
        <v>180</v>
      </c>
      <c r="B181">
        <v>13</v>
      </c>
      <c r="C181">
        <v>0.6</v>
      </c>
      <c r="D181">
        <v>3.3</v>
      </c>
      <c r="E181">
        <v>70.599999999999994</v>
      </c>
      <c r="F181">
        <v>1.6</v>
      </c>
    </row>
    <row r="182" spans="1:6" x14ac:dyDescent="0.25">
      <c r="A182">
        <v>181</v>
      </c>
      <c r="B182">
        <v>13</v>
      </c>
      <c r="C182">
        <v>4.0999999999999996</v>
      </c>
      <c r="D182">
        <v>4.4000000000000004</v>
      </c>
      <c r="E182">
        <v>53.1</v>
      </c>
      <c r="F182">
        <v>1</v>
      </c>
    </row>
    <row r="183" spans="1:6" x14ac:dyDescent="0.25">
      <c r="A183">
        <v>182</v>
      </c>
      <c r="B183">
        <v>15</v>
      </c>
      <c r="C183">
        <v>3</v>
      </c>
      <c r="D183">
        <v>2.1</v>
      </c>
      <c r="E183">
        <v>61</v>
      </c>
      <c r="F183">
        <v>1.1000000000000001</v>
      </c>
    </row>
    <row r="184" spans="1:6" x14ac:dyDescent="0.25">
      <c r="A184">
        <v>183</v>
      </c>
      <c r="B184">
        <v>13</v>
      </c>
      <c r="C184">
        <v>2.1</v>
      </c>
      <c r="D184">
        <v>1.7</v>
      </c>
      <c r="E184">
        <v>72.3</v>
      </c>
      <c r="F184">
        <v>1.1000000000000001</v>
      </c>
    </row>
    <row r="185" spans="1:6" x14ac:dyDescent="0.25">
      <c r="A185">
        <v>184</v>
      </c>
      <c r="B185">
        <v>14</v>
      </c>
      <c r="C185">
        <v>2</v>
      </c>
      <c r="D185">
        <v>4.3</v>
      </c>
      <c r="E185">
        <v>62.8</v>
      </c>
      <c r="F185">
        <v>0.7</v>
      </c>
    </row>
    <row r="186" spans="1:6" x14ac:dyDescent="0.25">
      <c r="A186">
        <v>185</v>
      </c>
      <c r="B186">
        <v>14</v>
      </c>
      <c r="C186">
        <v>3.5</v>
      </c>
      <c r="D186">
        <v>3.5</v>
      </c>
      <c r="E186">
        <v>76.900000000000006</v>
      </c>
      <c r="F186">
        <v>1.8</v>
      </c>
    </row>
    <row r="187" spans="1:6" x14ac:dyDescent="0.25">
      <c r="A187">
        <v>186</v>
      </c>
      <c r="B187">
        <v>16</v>
      </c>
      <c r="C187">
        <v>2.7</v>
      </c>
      <c r="E187">
        <v>74.7</v>
      </c>
      <c r="F187">
        <v>1</v>
      </c>
    </row>
    <row r="188" spans="1:6" x14ac:dyDescent="0.25">
      <c r="A188">
        <v>187</v>
      </c>
      <c r="B188">
        <v>17</v>
      </c>
      <c r="C188">
        <v>1</v>
      </c>
      <c r="D188">
        <v>6</v>
      </c>
      <c r="E188">
        <v>83.7</v>
      </c>
      <c r="F188">
        <v>1.7</v>
      </c>
    </row>
    <row r="189" spans="1:6" x14ac:dyDescent="0.25">
      <c r="A189">
        <v>188</v>
      </c>
      <c r="B189">
        <v>13</v>
      </c>
      <c r="C189">
        <v>2.9</v>
      </c>
      <c r="D189">
        <v>2</v>
      </c>
      <c r="E189">
        <v>79.599999999999994</v>
      </c>
      <c r="F189">
        <v>1.4</v>
      </c>
    </row>
    <row r="190" spans="1:6" x14ac:dyDescent="0.25">
      <c r="A190">
        <v>189</v>
      </c>
      <c r="B190">
        <v>13</v>
      </c>
      <c r="C190">
        <v>3.6</v>
      </c>
      <c r="D190">
        <v>7.9</v>
      </c>
      <c r="E190">
        <v>72.3</v>
      </c>
      <c r="F190">
        <v>1.5</v>
      </c>
    </row>
    <row r="191" spans="1:6" x14ac:dyDescent="0.25">
      <c r="A191">
        <v>190</v>
      </c>
      <c r="B191">
        <v>15</v>
      </c>
      <c r="C191">
        <v>3.4</v>
      </c>
      <c r="D191">
        <v>3.1</v>
      </c>
      <c r="E191">
        <v>77.5</v>
      </c>
      <c r="F191">
        <v>1.9</v>
      </c>
    </row>
    <row r="192" spans="1:6" x14ac:dyDescent="0.25">
      <c r="A192">
        <v>191</v>
      </c>
      <c r="B192">
        <v>14</v>
      </c>
      <c r="C192">
        <v>1.9</v>
      </c>
      <c r="D192">
        <v>4.5999999999999996</v>
      </c>
      <c r="E192">
        <v>80.099999999999994</v>
      </c>
      <c r="F192">
        <v>1.1000000000000001</v>
      </c>
    </row>
    <row r="193" spans="1:6" x14ac:dyDescent="0.25">
      <c r="A193">
        <v>192</v>
      </c>
      <c r="B193">
        <v>17</v>
      </c>
      <c r="C193">
        <v>1.2</v>
      </c>
      <c r="D193">
        <v>6.5</v>
      </c>
      <c r="E193">
        <v>64.900000000000006</v>
      </c>
      <c r="F193">
        <v>2</v>
      </c>
    </row>
    <row r="194" spans="1:6" x14ac:dyDescent="0.25">
      <c r="A194">
        <v>193</v>
      </c>
      <c r="B194">
        <v>16</v>
      </c>
      <c r="C194">
        <v>2.2000000000000002</v>
      </c>
      <c r="D194">
        <v>6.2</v>
      </c>
      <c r="E194">
        <v>66.7</v>
      </c>
      <c r="F194">
        <v>2.8</v>
      </c>
    </row>
    <row r="195" spans="1:6" x14ac:dyDescent="0.25">
      <c r="A195">
        <v>194</v>
      </c>
      <c r="B195">
        <v>14</v>
      </c>
      <c r="C195">
        <v>5.8</v>
      </c>
      <c r="D195">
        <v>7</v>
      </c>
      <c r="E195">
        <v>69</v>
      </c>
      <c r="F195">
        <v>1.8</v>
      </c>
    </row>
    <row r="196" spans="1:6" x14ac:dyDescent="0.25">
      <c r="A196">
        <v>195</v>
      </c>
      <c r="B196">
        <v>16</v>
      </c>
      <c r="C196">
        <v>1</v>
      </c>
      <c r="D196">
        <v>1.7</v>
      </c>
      <c r="E196">
        <v>65.2</v>
      </c>
      <c r="F196">
        <v>0.9</v>
      </c>
    </row>
    <row r="197" spans="1:6" x14ac:dyDescent="0.25">
      <c r="A197">
        <v>196</v>
      </c>
      <c r="B197">
        <v>15</v>
      </c>
      <c r="C197">
        <v>1.7</v>
      </c>
      <c r="D197">
        <v>2.2999999999999998</v>
      </c>
      <c r="E197">
        <v>80.2</v>
      </c>
      <c r="F197">
        <v>1</v>
      </c>
    </row>
    <row r="198" spans="1:6" x14ac:dyDescent="0.25">
      <c r="A198">
        <v>197</v>
      </c>
      <c r="B198">
        <v>15</v>
      </c>
      <c r="C198">
        <v>2.9</v>
      </c>
      <c r="D198">
        <v>4.3</v>
      </c>
      <c r="E198">
        <v>63.7</v>
      </c>
      <c r="F198">
        <v>1.3</v>
      </c>
    </row>
    <row r="199" spans="1:6" x14ac:dyDescent="0.25">
      <c r="A199">
        <v>198</v>
      </c>
      <c r="B199">
        <v>13</v>
      </c>
      <c r="C199">
        <v>2.4</v>
      </c>
      <c r="D199">
        <v>5.3</v>
      </c>
      <c r="E199">
        <v>82.5</v>
      </c>
      <c r="F199">
        <v>1</v>
      </c>
    </row>
    <row r="200" spans="1:6" x14ac:dyDescent="0.25">
      <c r="A200">
        <v>199</v>
      </c>
      <c r="B200">
        <v>17</v>
      </c>
      <c r="C200">
        <v>2.2999999999999998</v>
      </c>
      <c r="D200">
        <v>4</v>
      </c>
      <c r="E200">
        <v>66.3</v>
      </c>
      <c r="F200">
        <v>0.7</v>
      </c>
    </row>
    <row r="201" spans="1:6" x14ac:dyDescent="0.25">
      <c r="A201">
        <v>200</v>
      </c>
      <c r="B201">
        <v>16</v>
      </c>
      <c r="C201">
        <v>4.5</v>
      </c>
      <c r="D201">
        <v>1.5</v>
      </c>
      <c r="E201">
        <v>74.7</v>
      </c>
      <c r="F201">
        <v>1.6</v>
      </c>
    </row>
    <row r="202" spans="1:6" x14ac:dyDescent="0.25">
      <c r="A202">
        <v>132</v>
      </c>
      <c r="B202">
        <v>17</v>
      </c>
      <c r="C202">
        <v>4.4000000000000004</v>
      </c>
      <c r="D202">
        <v>5.8</v>
      </c>
      <c r="E202">
        <v>79.099999999999994</v>
      </c>
      <c r="F202">
        <v>1.5</v>
      </c>
    </row>
    <row r="203" spans="1:6" x14ac:dyDescent="0.25">
      <c r="A203">
        <v>46</v>
      </c>
      <c r="B203">
        <v>13</v>
      </c>
      <c r="C203">
        <v>1.8</v>
      </c>
      <c r="D203">
        <v>4.9000000000000004</v>
      </c>
      <c r="E203">
        <v>74.599999999999994</v>
      </c>
      <c r="F203">
        <v>1.6</v>
      </c>
    </row>
    <row r="204" spans="1:6" x14ac:dyDescent="0.25">
      <c r="A204">
        <v>129</v>
      </c>
      <c r="B204">
        <v>17</v>
      </c>
      <c r="C204">
        <v>2.8</v>
      </c>
      <c r="D204">
        <v>4.7</v>
      </c>
      <c r="E204">
        <v>58.1</v>
      </c>
      <c r="F204">
        <v>1</v>
      </c>
    </row>
    <row r="205" spans="1:6" x14ac:dyDescent="0.25">
      <c r="A205">
        <v>24</v>
      </c>
      <c r="B205">
        <v>13</v>
      </c>
      <c r="C205">
        <v>3.2</v>
      </c>
      <c r="D205">
        <v>2.6</v>
      </c>
      <c r="E205">
        <v>53.2</v>
      </c>
      <c r="F205">
        <v>0</v>
      </c>
    </row>
    <row r="206" spans="1:6" x14ac:dyDescent="0.25">
      <c r="A206">
        <v>39</v>
      </c>
      <c r="B206">
        <v>13</v>
      </c>
      <c r="C206">
        <v>2.4</v>
      </c>
      <c r="D206">
        <v>3.2</v>
      </c>
      <c r="E206">
        <v>76.7</v>
      </c>
      <c r="F206">
        <v>1.8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3119-5AD2-486E-82BE-DEA4C1498DFC}">
  <dimension ref="A1:H206"/>
  <sheetViews>
    <sheetView workbookViewId="0">
      <selection activeCell="I6" sqref="I6"/>
    </sheetView>
  </sheetViews>
  <sheetFormatPr defaultRowHeight="13.8" x14ac:dyDescent="0.25"/>
  <cols>
    <col min="1" max="1" width="12.59765625" customWidth="1"/>
    <col min="2" max="2" width="6.3984375" customWidth="1"/>
    <col min="3" max="4" width="13.8984375" customWidth="1"/>
    <col min="5" max="5" width="13" customWidth="1"/>
    <col min="6" max="6" width="22.59765625" customWidth="1"/>
    <col min="7" max="7" width="21.69921875" customWidth="1"/>
    <col min="8" max="8" width="18.796875" style="4" customWidth="1"/>
  </cols>
  <sheetData>
    <row r="1" spans="1:8" x14ac:dyDescent="0.25">
      <c r="A1" t="s">
        <v>10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19</v>
      </c>
      <c r="H1" s="4" t="s">
        <v>11</v>
      </c>
    </row>
    <row r="2" spans="1:8" x14ac:dyDescent="0.25">
      <c r="A2">
        <v>1</v>
      </c>
      <c r="B2">
        <v>16</v>
      </c>
      <c r="C2">
        <v>2.5</v>
      </c>
      <c r="D2">
        <v>2.7</v>
      </c>
      <c r="E2">
        <v>75</v>
      </c>
      <c r="F2">
        <v>1.6</v>
      </c>
      <c r="G2" t="str">
        <f t="shared" ref="G2:G65" si="0">IF(D2&gt;4,"High","Normal")</f>
        <v>Normal</v>
      </c>
      <c r="H2" s="4">
        <f t="shared" ref="H2:H65" si="1">IFERROR(C2/D2,0)</f>
        <v>0.92592592592592582</v>
      </c>
    </row>
    <row r="3" spans="1:8" x14ac:dyDescent="0.25">
      <c r="A3">
        <v>2</v>
      </c>
      <c r="B3">
        <v>17</v>
      </c>
      <c r="C3">
        <v>2.7</v>
      </c>
      <c r="D3">
        <v>4</v>
      </c>
      <c r="E3">
        <v>68.099999999999994</v>
      </c>
      <c r="F3">
        <v>0.7</v>
      </c>
      <c r="G3" t="str">
        <f t="shared" si="0"/>
        <v>Normal</v>
      </c>
      <c r="H3" s="4">
        <f t="shared" si="1"/>
        <v>0.67500000000000004</v>
      </c>
    </row>
    <row r="4" spans="1:8" x14ac:dyDescent="0.25">
      <c r="A4">
        <v>3</v>
      </c>
      <c r="B4">
        <v>15</v>
      </c>
      <c r="C4">
        <v>3</v>
      </c>
      <c r="D4">
        <v>4.3</v>
      </c>
      <c r="E4">
        <v>67.900000000000006</v>
      </c>
      <c r="F4">
        <v>1.5</v>
      </c>
      <c r="G4" t="str">
        <f t="shared" si="0"/>
        <v>High</v>
      </c>
      <c r="H4" s="4">
        <f t="shared" si="1"/>
        <v>0.69767441860465118</v>
      </c>
    </row>
    <row r="5" spans="1:8" x14ac:dyDescent="0.25">
      <c r="A5">
        <v>4</v>
      </c>
      <c r="B5">
        <v>17</v>
      </c>
      <c r="C5">
        <v>3</v>
      </c>
      <c r="D5">
        <v>2.8</v>
      </c>
      <c r="E5">
        <v>47.2</v>
      </c>
      <c r="F5">
        <v>1.8</v>
      </c>
      <c r="G5" t="str">
        <f t="shared" si="0"/>
        <v>Normal</v>
      </c>
      <c r="H5" s="4">
        <f t="shared" si="1"/>
        <v>1.0714285714285714</v>
      </c>
    </row>
    <row r="6" spans="1:8" x14ac:dyDescent="0.25">
      <c r="A6">
        <v>5</v>
      </c>
      <c r="B6">
        <v>17</v>
      </c>
      <c r="C6">
        <v>0</v>
      </c>
      <c r="D6">
        <v>1.8</v>
      </c>
      <c r="E6">
        <v>78</v>
      </c>
      <c r="F6">
        <v>1.4</v>
      </c>
      <c r="G6" t="str">
        <f t="shared" si="0"/>
        <v>Normal</v>
      </c>
      <c r="H6" s="4">
        <f t="shared" si="1"/>
        <v>0</v>
      </c>
    </row>
    <row r="7" spans="1:8" x14ac:dyDescent="0.25">
      <c r="A7">
        <v>6</v>
      </c>
      <c r="B7">
        <v>14</v>
      </c>
      <c r="C7">
        <v>1.3</v>
      </c>
      <c r="D7">
        <v>4.4000000000000004</v>
      </c>
      <c r="E7">
        <v>71.5</v>
      </c>
      <c r="F7">
        <v>0.4</v>
      </c>
      <c r="G7" t="str">
        <f t="shared" si="0"/>
        <v>High</v>
      </c>
      <c r="H7" s="4">
        <f t="shared" si="1"/>
        <v>0.29545454545454541</v>
      </c>
    </row>
    <row r="8" spans="1:8" x14ac:dyDescent="0.25">
      <c r="A8">
        <v>7</v>
      </c>
      <c r="B8">
        <v>15</v>
      </c>
      <c r="C8">
        <v>3.3</v>
      </c>
      <c r="D8">
        <v>6.7</v>
      </c>
      <c r="E8">
        <v>88</v>
      </c>
      <c r="F8">
        <v>2.9</v>
      </c>
      <c r="G8" t="str">
        <f t="shared" si="0"/>
        <v>High</v>
      </c>
      <c r="H8" s="4">
        <f t="shared" si="1"/>
        <v>0.4925373134328358</v>
      </c>
    </row>
    <row r="9" spans="1:8" x14ac:dyDescent="0.25">
      <c r="A9">
        <v>8</v>
      </c>
      <c r="B9">
        <v>15</v>
      </c>
      <c r="C9">
        <v>2.9</v>
      </c>
      <c r="D9">
        <v>4.5999999999999996</v>
      </c>
      <c r="E9">
        <v>69.3</v>
      </c>
      <c r="F9">
        <v>1.6</v>
      </c>
      <c r="G9" t="str">
        <f t="shared" si="0"/>
        <v>High</v>
      </c>
      <c r="H9" s="4">
        <f t="shared" si="1"/>
        <v>0.63043478260869568</v>
      </c>
    </row>
    <row r="10" spans="1:8" x14ac:dyDescent="0.25">
      <c r="A10">
        <v>9</v>
      </c>
      <c r="B10">
        <v>15</v>
      </c>
      <c r="C10">
        <v>1.4</v>
      </c>
      <c r="D10">
        <v>4.0999999999999996</v>
      </c>
      <c r="E10">
        <v>75.7</v>
      </c>
      <c r="F10">
        <v>0.9</v>
      </c>
      <c r="G10" t="str">
        <f t="shared" si="0"/>
        <v>High</v>
      </c>
      <c r="H10" s="4">
        <f t="shared" si="1"/>
        <v>0.34146341463414637</v>
      </c>
    </row>
    <row r="11" spans="1:8" x14ac:dyDescent="0.25">
      <c r="A11">
        <v>10</v>
      </c>
      <c r="B11">
        <v>17</v>
      </c>
      <c r="C11">
        <v>1.8</v>
      </c>
      <c r="D11">
        <v>4.0999999999999996</v>
      </c>
      <c r="E11">
        <v>78.3</v>
      </c>
      <c r="F11">
        <v>2.8</v>
      </c>
      <c r="G11" t="str">
        <f t="shared" si="0"/>
        <v>High</v>
      </c>
      <c r="H11" s="4">
        <f t="shared" si="1"/>
        <v>0.4390243902439025</v>
      </c>
    </row>
    <row r="12" spans="1:8" x14ac:dyDescent="0.25">
      <c r="A12">
        <v>11</v>
      </c>
      <c r="B12">
        <v>16</v>
      </c>
      <c r="C12">
        <v>3.4</v>
      </c>
      <c r="D12">
        <v>3.6</v>
      </c>
      <c r="E12">
        <v>52.5</v>
      </c>
      <c r="F12">
        <v>2</v>
      </c>
      <c r="G12" t="str">
        <f t="shared" si="0"/>
        <v>Normal</v>
      </c>
      <c r="H12" s="4">
        <f t="shared" si="1"/>
        <v>0.94444444444444442</v>
      </c>
    </row>
    <row r="13" spans="1:8" x14ac:dyDescent="0.25">
      <c r="A13">
        <v>12</v>
      </c>
      <c r="B13">
        <v>15</v>
      </c>
      <c r="C13">
        <v>3.1</v>
      </c>
      <c r="D13">
        <v>5.8</v>
      </c>
      <c r="E13">
        <v>96.2</v>
      </c>
      <c r="F13">
        <v>0.5</v>
      </c>
      <c r="G13" t="str">
        <f t="shared" si="0"/>
        <v>High</v>
      </c>
      <c r="H13" s="4">
        <f t="shared" si="1"/>
        <v>0.53448275862068972</v>
      </c>
    </row>
    <row r="14" spans="1:8" x14ac:dyDescent="0.25">
      <c r="A14">
        <v>13</v>
      </c>
      <c r="B14">
        <v>17</v>
      </c>
      <c r="C14">
        <v>1.8</v>
      </c>
      <c r="D14">
        <v>0</v>
      </c>
      <c r="E14">
        <v>65.7</v>
      </c>
      <c r="F14">
        <v>0.7</v>
      </c>
      <c r="G14" t="str">
        <f t="shared" si="0"/>
        <v>Normal</v>
      </c>
      <c r="H14" s="4">
        <f t="shared" si="1"/>
        <v>0</v>
      </c>
    </row>
    <row r="15" spans="1:8" x14ac:dyDescent="0.25">
      <c r="A15">
        <v>14</v>
      </c>
      <c r="B15">
        <v>14</v>
      </c>
      <c r="C15">
        <v>2.2000000000000002</v>
      </c>
      <c r="D15">
        <v>2</v>
      </c>
      <c r="E15">
        <v>74.900000000000006</v>
      </c>
      <c r="F15">
        <v>1.3</v>
      </c>
      <c r="G15" t="str">
        <f t="shared" si="0"/>
        <v>Normal</v>
      </c>
      <c r="H15" s="4">
        <f t="shared" si="1"/>
        <v>1.1000000000000001</v>
      </c>
    </row>
    <row r="16" spans="1:8" x14ac:dyDescent="0.25">
      <c r="A16">
        <v>15</v>
      </c>
      <c r="B16">
        <v>16</v>
      </c>
      <c r="C16">
        <v>2.4</v>
      </c>
      <c r="D16">
        <v>1.6</v>
      </c>
      <c r="E16">
        <v>76.400000000000006</v>
      </c>
      <c r="F16">
        <v>1.7</v>
      </c>
      <c r="G16" t="str">
        <f t="shared" si="0"/>
        <v>Normal</v>
      </c>
      <c r="H16" s="4">
        <f t="shared" si="1"/>
        <v>1.4999999999999998</v>
      </c>
    </row>
    <row r="17" spans="1:8" x14ac:dyDescent="0.25">
      <c r="A17">
        <v>16</v>
      </c>
      <c r="B17">
        <v>14</v>
      </c>
      <c r="C17">
        <v>3.1</v>
      </c>
      <c r="D17">
        <v>4.0999999999999996</v>
      </c>
      <c r="E17">
        <v>61.9</v>
      </c>
      <c r="F17">
        <v>2</v>
      </c>
      <c r="G17" t="str">
        <f t="shared" si="0"/>
        <v>High</v>
      </c>
      <c r="H17" s="4">
        <f t="shared" si="1"/>
        <v>0.75609756097560987</v>
      </c>
    </row>
    <row r="18" spans="1:8" x14ac:dyDescent="0.25">
      <c r="A18">
        <v>17</v>
      </c>
      <c r="B18">
        <v>16</v>
      </c>
      <c r="C18">
        <v>3.7</v>
      </c>
      <c r="D18">
        <v>5.6</v>
      </c>
      <c r="E18">
        <v>88.5</v>
      </c>
      <c r="F18">
        <v>2.2999999999999998</v>
      </c>
      <c r="G18" t="str">
        <f t="shared" si="0"/>
        <v>High</v>
      </c>
      <c r="H18" s="4">
        <f t="shared" si="1"/>
        <v>0.66071428571428581</v>
      </c>
    </row>
    <row r="19" spans="1:8" x14ac:dyDescent="0.25">
      <c r="A19">
        <v>18</v>
      </c>
      <c r="B19">
        <v>17</v>
      </c>
      <c r="C19">
        <v>2.6</v>
      </c>
      <c r="D19">
        <v>4.4000000000000004</v>
      </c>
      <c r="E19">
        <v>72.7</v>
      </c>
      <c r="F19">
        <v>1.9</v>
      </c>
      <c r="G19" t="str">
        <f t="shared" si="0"/>
        <v>High</v>
      </c>
      <c r="H19" s="4">
        <f t="shared" si="1"/>
        <v>0.59090909090909083</v>
      </c>
    </row>
    <row r="20" spans="1:8" x14ac:dyDescent="0.25">
      <c r="A20">
        <v>19</v>
      </c>
      <c r="B20">
        <v>13</v>
      </c>
      <c r="C20">
        <v>0</v>
      </c>
      <c r="D20">
        <v>3.5</v>
      </c>
      <c r="E20">
        <v>67.900000000000006</v>
      </c>
      <c r="F20">
        <v>2.6</v>
      </c>
      <c r="G20" t="str">
        <f t="shared" si="0"/>
        <v>Normal</v>
      </c>
      <c r="H20" s="4">
        <f t="shared" si="1"/>
        <v>0</v>
      </c>
    </row>
    <row r="21" spans="1:8" x14ac:dyDescent="0.25">
      <c r="A21">
        <v>20</v>
      </c>
      <c r="B21">
        <v>16</v>
      </c>
      <c r="C21">
        <v>3.4</v>
      </c>
      <c r="D21">
        <v>4.7</v>
      </c>
      <c r="E21">
        <v>71.400000000000006</v>
      </c>
      <c r="F21">
        <v>1.6</v>
      </c>
      <c r="G21" t="str">
        <f t="shared" si="0"/>
        <v>High</v>
      </c>
      <c r="H21" s="4">
        <f t="shared" si="1"/>
        <v>0.72340425531914887</v>
      </c>
    </row>
    <row r="22" spans="1:8" x14ac:dyDescent="0.25">
      <c r="A22">
        <v>21</v>
      </c>
      <c r="B22">
        <v>14</v>
      </c>
      <c r="C22">
        <v>2.7</v>
      </c>
      <c r="D22">
        <v>4.3</v>
      </c>
      <c r="E22">
        <v>77.599999999999994</v>
      </c>
      <c r="F22">
        <v>0.9</v>
      </c>
      <c r="G22" t="str">
        <f t="shared" si="0"/>
        <v>High</v>
      </c>
      <c r="H22" s="4">
        <f t="shared" si="1"/>
        <v>0.62790697674418616</v>
      </c>
    </row>
    <row r="23" spans="1:8" x14ac:dyDescent="0.25">
      <c r="A23">
        <v>22</v>
      </c>
      <c r="B23">
        <v>17</v>
      </c>
      <c r="C23">
        <v>1.1000000000000001</v>
      </c>
      <c r="D23">
        <v>5.2</v>
      </c>
      <c r="E23">
        <v>70.099999999999994</v>
      </c>
      <c r="F23">
        <v>1.5</v>
      </c>
      <c r="G23" t="str">
        <f t="shared" si="0"/>
        <v>High</v>
      </c>
      <c r="H23" s="4">
        <f t="shared" si="1"/>
        <v>0.21153846153846154</v>
      </c>
    </row>
    <row r="24" spans="1:8" x14ac:dyDescent="0.25">
      <c r="A24">
        <v>23</v>
      </c>
      <c r="B24">
        <v>16</v>
      </c>
      <c r="C24">
        <v>1.5</v>
      </c>
      <c r="D24">
        <v>6</v>
      </c>
      <c r="E24">
        <v>78.8</v>
      </c>
      <c r="F24">
        <v>1.4</v>
      </c>
      <c r="G24" t="str">
        <f t="shared" si="0"/>
        <v>High</v>
      </c>
      <c r="H24" s="4">
        <f t="shared" si="1"/>
        <v>0.25</v>
      </c>
    </row>
    <row r="25" spans="1:8" x14ac:dyDescent="0.25">
      <c r="A25">
        <v>24</v>
      </c>
      <c r="B25">
        <v>13</v>
      </c>
      <c r="C25">
        <v>3.2</v>
      </c>
      <c r="D25">
        <v>2.6</v>
      </c>
      <c r="E25">
        <v>53.2</v>
      </c>
      <c r="F25">
        <v>0</v>
      </c>
      <c r="G25" t="str">
        <f t="shared" si="0"/>
        <v>Normal</v>
      </c>
      <c r="H25" s="4">
        <f t="shared" si="1"/>
        <v>1.2307692307692308</v>
      </c>
    </row>
    <row r="26" spans="1:8" x14ac:dyDescent="0.25">
      <c r="A26">
        <v>25</v>
      </c>
      <c r="B26">
        <v>13</v>
      </c>
      <c r="C26">
        <v>0.8</v>
      </c>
      <c r="D26">
        <v>0.5</v>
      </c>
      <c r="E26">
        <v>62.5</v>
      </c>
      <c r="F26">
        <v>1.1000000000000001</v>
      </c>
      <c r="G26" t="str">
        <f t="shared" si="0"/>
        <v>Normal</v>
      </c>
      <c r="H26" s="4">
        <f t="shared" si="1"/>
        <v>1.6</v>
      </c>
    </row>
    <row r="27" spans="1:8" x14ac:dyDescent="0.25">
      <c r="A27">
        <v>26</v>
      </c>
      <c r="B27">
        <v>15</v>
      </c>
      <c r="C27">
        <v>2.6</v>
      </c>
      <c r="D27">
        <v>3.5</v>
      </c>
      <c r="E27">
        <v>48.6</v>
      </c>
      <c r="F27">
        <v>1.8</v>
      </c>
      <c r="G27" t="str">
        <f t="shared" si="0"/>
        <v>Normal</v>
      </c>
      <c r="H27" s="4">
        <f t="shared" si="1"/>
        <v>0.74285714285714288</v>
      </c>
    </row>
    <row r="28" spans="1:8" x14ac:dyDescent="0.25">
      <c r="A28">
        <v>27</v>
      </c>
      <c r="B28">
        <v>15</v>
      </c>
      <c r="C28">
        <v>3.5</v>
      </c>
      <c r="D28">
        <v>2.5</v>
      </c>
      <c r="E28">
        <v>90</v>
      </c>
      <c r="F28">
        <v>1.2</v>
      </c>
      <c r="G28" t="str">
        <f t="shared" si="0"/>
        <v>Normal</v>
      </c>
      <c r="H28" s="4">
        <f t="shared" si="1"/>
        <v>1.4</v>
      </c>
    </row>
    <row r="29" spans="1:8" x14ac:dyDescent="0.25">
      <c r="A29">
        <v>28</v>
      </c>
      <c r="B29">
        <v>14</v>
      </c>
      <c r="C29">
        <v>2.7</v>
      </c>
      <c r="D29">
        <v>5.2</v>
      </c>
      <c r="E29">
        <v>89.8</v>
      </c>
      <c r="F29">
        <v>1</v>
      </c>
      <c r="G29" t="str">
        <f t="shared" si="0"/>
        <v>High</v>
      </c>
      <c r="H29" s="4">
        <f t="shared" si="1"/>
        <v>0.51923076923076927</v>
      </c>
    </row>
    <row r="30" spans="1:8" x14ac:dyDescent="0.25">
      <c r="A30">
        <v>29</v>
      </c>
      <c r="B30">
        <v>16</v>
      </c>
      <c r="C30">
        <v>1.9</v>
      </c>
      <c r="D30">
        <v>2.9</v>
      </c>
      <c r="E30">
        <v>76.3</v>
      </c>
      <c r="F30">
        <v>2.2000000000000002</v>
      </c>
      <c r="G30" t="str">
        <f t="shared" si="0"/>
        <v>Normal</v>
      </c>
      <c r="H30" s="4">
        <f t="shared" si="1"/>
        <v>0.65517241379310343</v>
      </c>
    </row>
    <row r="31" spans="1:8" x14ac:dyDescent="0.25">
      <c r="A31">
        <v>30</v>
      </c>
      <c r="B31">
        <v>16</v>
      </c>
      <c r="C31">
        <v>1.7</v>
      </c>
      <c r="D31">
        <v>1.2</v>
      </c>
      <c r="E31">
        <v>59.9</v>
      </c>
      <c r="F31">
        <v>0.8</v>
      </c>
      <c r="G31" t="str">
        <f t="shared" si="0"/>
        <v>Normal</v>
      </c>
      <c r="H31" s="4">
        <f t="shared" si="1"/>
        <v>1.4166666666666667</v>
      </c>
    </row>
    <row r="32" spans="1:8" x14ac:dyDescent="0.25">
      <c r="A32">
        <v>31</v>
      </c>
      <c r="B32">
        <v>15</v>
      </c>
      <c r="C32">
        <v>3.3</v>
      </c>
      <c r="D32">
        <v>3.1</v>
      </c>
      <c r="E32">
        <v>93.9</v>
      </c>
      <c r="F32">
        <v>2.1</v>
      </c>
      <c r="G32" t="str">
        <f t="shared" si="0"/>
        <v>Normal</v>
      </c>
      <c r="H32" s="4">
        <f t="shared" si="1"/>
        <v>1.064516129032258</v>
      </c>
    </row>
    <row r="33" spans="1:8" x14ac:dyDescent="0.25">
      <c r="A33">
        <v>32</v>
      </c>
      <c r="B33">
        <v>16</v>
      </c>
      <c r="C33">
        <v>3</v>
      </c>
      <c r="D33">
        <v>1.8</v>
      </c>
      <c r="E33">
        <v>64</v>
      </c>
      <c r="F33">
        <v>0.4</v>
      </c>
      <c r="G33" t="str">
        <f t="shared" si="0"/>
        <v>Normal</v>
      </c>
      <c r="H33" s="4">
        <f t="shared" si="1"/>
        <v>1.6666666666666665</v>
      </c>
    </row>
    <row r="34" spans="1:8" x14ac:dyDescent="0.25">
      <c r="A34">
        <v>33</v>
      </c>
      <c r="B34">
        <v>16</v>
      </c>
      <c r="C34">
        <v>2.2000000000000002</v>
      </c>
      <c r="D34">
        <v>6.4</v>
      </c>
      <c r="E34">
        <v>67.900000000000006</v>
      </c>
      <c r="F34">
        <v>3.7</v>
      </c>
      <c r="G34" t="str">
        <f t="shared" si="0"/>
        <v>High</v>
      </c>
      <c r="H34" s="4">
        <f t="shared" si="1"/>
        <v>0.34375</v>
      </c>
    </row>
    <row r="35" spans="1:8" x14ac:dyDescent="0.25">
      <c r="A35">
        <v>34</v>
      </c>
      <c r="B35">
        <v>13</v>
      </c>
      <c r="C35">
        <v>3.6</v>
      </c>
      <c r="D35">
        <v>4.7</v>
      </c>
      <c r="E35">
        <v>71.599999999999994</v>
      </c>
      <c r="F35">
        <v>1.3</v>
      </c>
      <c r="G35" t="str">
        <f t="shared" si="0"/>
        <v>High</v>
      </c>
      <c r="H35" s="4">
        <f t="shared" si="1"/>
        <v>0.76595744680851063</v>
      </c>
    </row>
    <row r="36" spans="1:8" x14ac:dyDescent="0.25">
      <c r="A36">
        <v>35</v>
      </c>
      <c r="B36">
        <v>15</v>
      </c>
      <c r="C36">
        <v>3.4</v>
      </c>
      <c r="D36">
        <v>5</v>
      </c>
      <c r="E36">
        <v>74.5</v>
      </c>
      <c r="F36">
        <v>1.2</v>
      </c>
      <c r="G36" t="str">
        <f t="shared" si="0"/>
        <v>High</v>
      </c>
      <c r="H36" s="4">
        <f t="shared" si="1"/>
        <v>0.67999999999999994</v>
      </c>
    </row>
    <row r="37" spans="1:8" x14ac:dyDescent="0.25">
      <c r="A37">
        <v>36</v>
      </c>
      <c r="B37">
        <v>17</v>
      </c>
      <c r="C37">
        <v>4.3</v>
      </c>
      <c r="D37">
        <v>4.8</v>
      </c>
      <c r="E37">
        <v>76.400000000000006</v>
      </c>
      <c r="F37">
        <v>2.4</v>
      </c>
      <c r="G37" t="str">
        <f t="shared" si="0"/>
        <v>High</v>
      </c>
      <c r="H37" s="4">
        <f t="shared" si="1"/>
        <v>0.89583333333333337</v>
      </c>
    </row>
    <row r="38" spans="1:8" x14ac:dyDescent="0.25">
      <c r="A38">
        <v>37</v>
      </c>
      <c r="B38">
        <v>15</v>
      </c>
      <c r="C38">
        <v>3.1</v>
      </c>
      <c r="D38">
        <v>5.3</v>
      </c>
      <c r="E38">
        <v>76.8</v>
      </c>
      <c r="F38">
        <v>1.2</v>
      </c>
      <c r="G38" t="str">
        <f t="shared" si="0"/>
        <v>High</v>
      </c>
      <c r="H38" s="4">
        <f t="shared" si="1"/>
        <v>0.58490566037735847</v>
      </c>
    </row>
    <row r="39" spans="1:8" x14ac:dyDescent="0.25">
      <c r="A39">
        <v>38</v>
      </c>
      <c r="B39">
        <v>17</v>
      </c>
      <c r="C39">
        <v>2.2999999999999998</v>
      </c>
      <c r="D39">
        <v>5.7</v>
      </c>
      <c r="E39">
        <v>0</v>
      </c>
      <c r="F39">
        <v>2.7</v>
      </c>
      <c r="G39" t="str">
        <f t="shared" si="0"/>
        <v>High</v>
      </c>
      <c r="H39" s="4">
        <f t="shared" si="1"/>
        <v>0.40350877192982454</v>
      </c>
    </row>
    <row r="40" spans="1:8" x14ac:dyDescent="0.25">
      <c r="A40">
        <v>39</v>
      </c>
      <c r="B40">
        <v>13</v>
      </c>
      <c r="C40">
        <v>2.4</v>
      </c>
      <c r="D40">
        <v>3.2</v>
      </c>
      <c r="E40">
        <v>76.7</v>
      </c>
      <c r="F40">
        <v>1.8</v>
      </c>
      <c r="G40" t="str">
        <f t="shared" si="0"/>
        <v>Normal</v>
      </c>
      <c r="H40" s="4">
        <f t="shared" si="1"/>
        <v>0.74999999999999989</v>
      </c>
    </row>
    <row r="41" spans="1:8" x14ac:dyDescent="0.25">
      <c r="A41">
        <v>40</v>
      </c>
      <c r="B41">
        <v>14</v>
      </c>
      <c r="C41">
        <v>0.6</v>
      </c>
      <c r="D41">
        <v>1.9</v>
      </c>
      <c r="E41">
        <v>0</v>
      </c>
      <c r="F41">
        <v>1.4</v>
      </c>
      <c r="G41" t="str">
        <f t="shared" si="0"/>
        <v>Normal</v>
      </c>
      <c r="H41" s="4">
        <f t="shared" si="1"/>
        <v>0.31578947368421051</v>
      </c>
    </row>
    <row r="42" spans="1:8" x14ac:dyDescent="0.25">
      <c r="A42">
        <v>41</v>
      </c>
      <c r="B42">
        <v>16</v>
      </c>
      <c r="C42">
        <v>2.7</v>
      </c>
      <c r="D42">
        <v>2.7</v>
      </c>
      <c r="E42">
        <v>75.8</v>
      </c>
      <c r="F42">
        <v>1.3</v>
      </c>
      <c r="G42" t="str">
        <f t="shared" si="0"/>
        <v>Normal</v>
      </c>
      <c r="H42" s="4">
        <f t="shared" si="1"/>
        <v>1</v>
      </c>
    </row>
    <row r="43" spans="1:8" x14ac:dyDescent="0.25">
      <c r="A43">
        <v>42</v>
      </c>
      <c r="B43">
        <v>13</v>
      </c>
      <c r="C43">
        <v>0</v>
      </c>
      <c r="D43">
        <v>3.9</v>
      </c>
      <c r="E43">
        <v>75</v>
      </c>
      <c r="F43">
        <v>2.5</v>
      </c>
      <c r="G43" t="str">
        <f t="shared" si="0"/>
        <v>Normal</v>
      </c>
      <c r="H43" s="4">
        <f t="shared" si="1"/>
        <v>0</v>
      </c>
    </row>
    <row r="44" spans="1:8" x14ac:dyDescent="0.25">
      <c r="A44">
        <v>43</v>
      </c>
      <c r="B44">
        <v>16</v>
      </c>
      <c r="C44">
        <v>1.2</v>
      </c>
      <c r="D44">
        <v>0.2</v>
      </c>
      <c r="E44">
        <v>77.599999999999994</v>
      </c>
      <c r="F44">
        <v>1.7</v>
      </c>
      <c r="G44" t="str">
        <f t="shared" si="0"/>
        <v>Normal</v>
      </c>
      <c r="H44" s="4">
        <f t="shared" si="1"/>
        <v>5.9999999999999991</v>
      </c>
    </row>
    <row r="45" spans="1:8" x14ac:dyDescent="0.25">
      <c r="A45">
        <v>44</v>
      </c>
      <c r="B45">
        <v>14</v>
      </c>
      <c r="C45">
        <v>2.5</v>
      </c>
      <c r="D45">
        <v>5.7</v>
      </c>
      <c r="E45">
        <v>76.400000000000006</v>
      </c>
      <c r="F45">
        <v>1.8</v>
      </c>
      <c r="G45" t="str">
        <f t="shared" si="0"/>
        <v>High</v>
      </c>
      <c r="H45" s="4">
        <f t="shared" si="1"/>
        <v>0.43859649122807015</v>
      </c>
    </row>
    <row r="46" spans="1:8" x14ac:dyDescent="0.25">
      <c r="A46">
        <v>45</v>
      </c>
      <c r="B46">
        <v>14</v>
      </c>
      <c r="C46">
        <v>3.8</v>
      </c>
      <c r="D46">
        <v>1.2</v>
      </c>
      <c r="E46">
        <v>65.599999999999994</v>
      </c>
      <c r="F46">
        <v>1.9</v>
      </c>
      <c r="G46" t="str">
        <f t="shared" si="0"/>
        <v>Normal</v>
      </c>
      <c r="H46" s="4">
        <f t="shared" si="1"/>
        <v>3.1666666666666665</v>
      </c>
    </row>
    <row r="47" spans="1:8" x14ac:dyDescent="0.25">
      <c r="A47">
        <v>46</v>
      </c>
      <c r="B47">
        <v>13</v>
      </c>
      <c r="C47">
        <v>1.8</v>
      </c>
      <c r="D47">
        <v>4.9000000000000004</v>
      </c>
      <c r="E47">
        <v>74.599999999999994</v>
      </c>
      <c r="F47">
        <v>1.6</v>
      </c>
      <c r="G47" t="str">
        <f t="shared" si="0"/>
        <v>High</v>
      </c>
      <c r="H47" s="4">
        <f t="shared" si="1"/>
        <v>0.36734693877551017</v>
      </c>
    </row>
    <row r="48" spans="1:8" x14ac:dyDescent="0.25">
      <c r="A48">
        <v>47</v>
      </c>
      <c r="B48">
        <v>14</v>
      </c>
      <c r="C48">
        <v>1.5</v>
      </c>
      <c r="D48">
        <v>3.7</v>
      </c>
      <c r="E48">
        <v>76.5</v>
      </c>
      <c r="F48">
        <v>1.9</v>
      </c>
      <c r="G48" t="str">
        <f t="shared" si="0"/>
        <v>Normal</v>
      </c>
      <c r="H48" s="4">
        <f t="shared" si="1"/>
        <v>0.40540540540540537</v>
      </c>
    </row>
    <row r="49" spans="1:8" x14ac:dyDescent="0.25">
      <c r="A49">
        <v>48</v>
      </c>
      <c r="B49">
        <v>17</v>
      </c>
      <c r="C49">
        <v>3.6</v>
      </c>
      <c r="D49">
        <v>4.4000000000000004</v>
      </c>
      <c r="E49">
        <v>57.1</v>
      </c>
      <c r="F49">
        <v>1.4</v>
      </c>
      <c r="G49" t="str">
        <f t="shared" si="0"/>
        <v>High</v>
      </c>
      <c r="H49" s="4">
        <f t="shared" si="1"/>
        <v>0.81818181818181812</v>
      </c>
    </row>
    <row r="50" spans="1:8" x14ac:dyDescent="0.25">
      <c r="A50">
        <v>49</v>
      </c>
      <c r="B50">
        <v>14</v>
      </c>
      <c r="C50">
        <v>3.1</v>
      </c>
      <c r="D50">
        <v>3.3</v>
      </c>
      <c r="E50">
        <v>67.3</v>
      </c>
      <c r="F50">
        <v>1.5</v>
      </c>
      <c r="G50" t="str">
        <f t="shared" si="0"/>
        <v>Normal</v>
      </c>
      <c r="H50" s="4">
        <f t="shared" si="1"/>
        <v>0.93939393939393945</v>
      </c>
    </row>
    <row r="51" spans="1:8" x14ac:dyDescent="0.25">
      <c r="A51">
        <v>50</v>
      </c>
      <c r="B51">
        <v>16</v>
      </c>
      <c r="C51">
        <v>5.6</v>
      </c>
      <c r="D51">
        <v>4.3</v>
      </c>
      <c r="E51">
        <v>76.099999999999994</v>
      </c>
      <c r="F51">
        <v>0.6</v>
      </c>
      <c r="G51" t="str">
        <f t="shared" si="0"/>
        <v>High</v>
      </c>
      <c r="H51" s="4">
        <f t="shared" si="1"/>
        <v>1.3023255813953487</v>
      </c>
    </row>
    <row r="52" spans="1:8" x14ac:dyDescent="0.25">
      <c r="A52">
        <v>51</v>
      </c>
      <c r="B52">
        <v>16</v>
      </c>
      <c r="C52">
        <v>1.2</v>
      </c>
      <c r="D52">
        <v>3.3</v>
      </c>
      <c r="E52">
        <v>87.1</v>
      </c>
      <c r="F52">
        <v>1.7</v>
      </c>
      <c r="G52" t="str">
        <f t="shared" si="0"/>
        <v>Normal</v>
      </c>
      <c r="H52" s="4">
        <f t="shared" si="1"/>
        <v>0.36363636363636365</v>
      </c>
    </row>
    <row r="53" spans="1:8" x14ac:dyDescent="0.25">
      <c r="A53">
        <v>52</v>
      </c>
      <c r="B53">
        <v>16</v>
      </c>
      <c r="C53">
        <v>3.2</v>
      </c>
      <c r="D53">
        <v>3.2</v>
      </c>
      <c r="E53">
        <v>78.2</v>
      </c>
      <c r="F53">
        <v>0.1</v>
      </c>
      <c r="G53" t="str">
        <f t="shared" si="0"/>
        <v>Normal</v>
      </c>
      <c r="H53" s="4">
        <f t="shared" si="1"/>
        <v>1</v>
      </c>
    </row>
    <row r="54" spans="1:8" x14ac:dyDescent="0.25">
      <c r="A54">
        <v>53</v>
      </c>
      <c r="B54">
        <v>16</v>
      </c>
      <c r="C54">
        <v>2.8</v>
      </c>
      <c r="D54">
        <v>2.7</v>
      </c>
      <c r="E54">
        <v>87.7</v>
      </c>
      <c r="F54">
        <v>1.7</v>
      </c>
      <c r="G54" t="str">
        <f t="shared" si="0"/>
        <v>Normal</v>
      </c>
      <c r="H54" s="4">
        <f t="shared" si="1"/>
        <v>1.037037037037037</v>
      </c>
    </row>
    <row r="55" spans="1:8" x14ac:dyDescent="0.25">
      <c r="A55">
        <v>54</v>
      </c>
      <c r="B55">
        <v>17</v>
      </c>
      <c r="C55">
        <v>2.6</v>
      </c>
      <c r="D55">
        <v>0</v>
      </c>
      <c r="E55">
        <v>66</v>
      </c>
      <c r="F55">
        <v>1.3</v>
      </c>
      <c r="G55" t="str">
        <f t="shared" si="0"/>
        <v>Normal</v>
      </c>
      <c r="H55" s="4">
        <f t="shared" si="1"/>
        <v>0</v>
      </c>
    </row>
    <row r="56" spans="1:8" x14ac:dyDescent="0.25">
      <c r="A56">
        <v>55</v>
      </c>
      <c r="B56">
        <v>15</v>
      </c>
      <c r="C56">
        <v>3.4</v>
      </c>
      <c r="D56">
        <v>4.5999999999999996</v>
      </c>
      <c r="E56">
        <v>72.5</v>
      </c>
      <c r="F56">
        <v>1.8</v>
      </c>
      <c r="G56" t="str">
        <f t="shared" si="0"/>
        <v>High</v>
      </c>
      <c r="H56" s="4">
        <f t="shared" si="1"/>
        <v>0.73913043478260876</v>
      </c>
    </row>
    <row r="57" spans="1:8" x14ac:dyDescent="0.25">
      <c r="A57">
        <v>56</v>
      </c>
      <c r="B57">
        <v>13</v>
      </c>
      <c r="C57">
        <v>2.5</v>
      </c>
      <c r="D57">
        <v>4.3</v>
      </c>
      <c r="E57">
        <v>78.099999999999994</v>
      </c>
      <c r="F57">
        <v>0.7</v>
      </c>
      <c r="G57" t="str">
        <f t="shared" si="0"/>
        <v>High</v>
      </c>
      <c r="H57" s="4">
        <f t="shared" si="1"/>
        <v>0.58139534883720934</v>
      </c>
    </row>
    <row r="58" spans="1:8" x14ac:dyDescent="0.25">
      <c r="A58">
        <v>57</v>
      </c>
      <c r="B58">
        <v>16</v>
      </c>
      <c r="C58">
        <v>0.6</v>
      </c>
      <c r="D58">
        <v>2.7</v>
      </c>
      <c r="E58">
        <v>46.7</v>
      </c>
      <c r="F58">
        <v>0</v>
      </c>
      <c r="G58" t="str">
        <f t="shared" si="0"/>
        <v>Normal</v>
      </c>
      <c r="H58" s="4">
        <f t="shared" si="1"/>
        <v>0.22222222222222221</v>
      </c>
    </row>
    <row r="59" spans="1:8" x14ac:dyDescent="0.25">
      <c r="A59">
        <v>58</v>
      </c>
      <c r="B59">
        <v>14</v>
      </c>
      <c r="C59">
        <v>1.7</v>
      </c>
      <c r="D59">
        <v>3.6</v>
      </c>
      <c r="E59">
        <v>0</v>
      </c>
      <c r="F59">
        <v>1.2</v>
      </c>
      <c r="G59" t="str">
        <f t="shared" si="0"/>
        <v>Normal</v>
      </c>
      <c r="H59" s="4">
        <f t="shared" si="1"/>
        <v>0.47222222222222221</v>
      </c>
    </row>
    <row r="60" spans="1:8" x14ac:dyDescent="0.25">
      <c r="A60">
        <v>59</v>
      </c>
      <c r="B60">
        <v>16</v>
      </c>
      <c r="C60">
        <v>3.9</v>
      </c>
      <c r="D60">
        <v>2.5</v>
      </c>
      <c r="E60">
        <v>51.4</v>
      </c>
      <c r="F60">
        <v>0.7</v>
      </c>
      <c r="G60" t="str">
        <f t="shared" si="0"/>
        <v>Normal</v>
      </c>
      <c r="H60" s="4">
        <f t="shared" si="1"/>
        <v>1.56</v>
      </c>
    </row>
    <row r="61" spans="1:8" x14ac:dyDescent="0.25">
      <c r="A61">
        <v>60</v>
      </c>
      <c r="B61">
        <v>14</v>
      </c>
      <c r="C61">
        <v>3.7</v>
      </c>
      <c r="D61">
        <v>3.3</v>
      </c>
      <c r="E61">
        <v>80</v>
      </c>
      <c r="F61">
        <v>0.1</v>
      </c>
      <c r="G61" t="str">
        <f t="shared" si="0"/>
        <v>Normal</v>
      </c>
      <c r="H61" s="4">
        <f t="shared" si="1"/>
        <v>1.1212121212121213</v>
      </c>
    </row>
    <row r="62" spans="1:8" x14ac:dyDescent="0.25">
      <c r="A62">
        <v>61</v>
      </c>
      <c r="B62">
        <v>14</v>
      </c>
      <c r="C62">
        <v>2.1</v>
      </c>
      <c r="D62">
        <v>2.2000000000000002</v>
      </c>
      <c r="E62">
        <v>76.900000000000006</v>
      </c>
      <c r="F62">
        <v>2.1</v>
      </c>
      <c r="G62" t="str">
        <f t="shared" si="0"/>
        <v>Normal</v>
      </c>
      <c r="H62" s="4">
        <f t="shared" si="1"/>
        <v>0.95454545454545447</v>
      </c>
    </row>
    <row r="63" spans="1:8" x14ac:dyDescent="0.25">
      <c r="A63">
        <v>62</v>
      </c>
      <c r="B63">
        <v>16</v>
      </c>
      <c r="C63">
        <v>3</v>
      </c>
      <c r="D63">
        <v>6.4</v>
      </c>
      <c r="E63">
        <v>46.6</v>
      </c>
      <c r="F63">
        <v>2.8</v>
      </c>
      <c r="G63" t="str">
        <f t="shared" si="0"/>
        <v>High</v>
      </c>
      <c r="H63" s="4">
        <f t="shared" si="1"/>
        <v>0.46875</v>
      </c>
    </row>
    <row r="64" spans="1:8" x14ac:dyDescent="0.25">
      <c r="A64">
        <v>63</v>
      </c>
      <c r="B64">
        <v>17</v>
      </c>
      <c r="C64">
        <v>5.3</v>
      </c>
      <c r="D64">
        <v>0</v>
      </c>
      <c r="E64">
        <v>47.1</v>
      </c>
      <c r="F64">
        <v>0.9</v>
      </c>
      <c r="G64" t="str">
        <f t="shared" si="0"/>
        <v>Normal</v>
      </c>
      <c r="H64" s="4">
        <f t="shared" si="1"/>
        <v>0</v>
      </c>
    </row>
    <row r="65" spans="1:8" x14ac:dyDescent="0.25">
      <c r="A65">
        <v>64</v>
      </c>
      <c r="B65">
        <v>14</v>
      </c>
      <c r="C65">
        <v>2.5</v>
      </c>
      <c r="D65">
        <v>2.7</v>
      </c>
      <c r="E65">
        <v>0</v>
      </c>
      <c r="F65">
        <v>1.4</v>
      </c>
      <c r="G65" t="str">
        <f t="shared" si="0"/>
        <v>Normal</v>
      </c>
      <c r="H65" s="4">
        <f t="shared" si="1"/>
        <v>0.92592592592592582</v>
      </c>
    </row>
    <row r="66" spans="1:8" x14ac:dyDescent="0.25">
      <c r="A66">
        <v>65</v>
      </c>
      <c r="B66">
        <v>14</v>
      </c>
      <c r="C66">
        <v>2.5</v>
      </c>
      <c r="D66">
        <v>2</v>
      </c>
      <c r="E66">
        <v>82.1</v>
      </c>
      <c r="F66">
        <v>1.3</v>
      </c>
      <c r="G66" t="str">
        <f t="shared" ref="G66:G129" si="2">IF(D66&gt;4,"High","Normal")</f>
        <v>Normal</v>
      </c>
      <c r="H66" s="4">
        <f t="shared" ref="H66:H129" si="3">IFERROR(C66/D66,0)</f>
        <v>1.25</v>
      </c>
    </row>
    <row r="67" spans="1:8" x14ac:dyDescent="0.25">
      <c r="A67">
        <v>66</v>
      </c>
      <c r="B67">
        <v>16</v>
      </c>
      <c r="C67">
        <v>2.7</v>
      </c>
      <c r="D67">
        <v>2.8</v>
      </c>
      <c r="E67">
        <v>61.2</v>
      </c>
      <c r="F67">
        <v>1</v>
      </c>
      <c r="G67" t="str">
        <f t="shared" si="2"/>
        <v>Normal</v>
      </c>
      <c r="H67" s="4">
        <f t="shared" si="3"/>
        <v>0.96428571428571441</v>
      </c>
    </row>
    <row r="68" spans="1:8" x14ac:dyDescent="0.25">
      <c r="A68">
        <v>67</v>
      </c>
      <c r="B68">
        <v>14</v>
      </c>
      <c r="C68">
        <v>3.1</v>
      </c>
      <c r="D68">
        <v>3.3</v>
      </c>
      <c r="E68">
        <v>61.2</v>
      </c>
      <c r="F68">
        <v>2</v>
      </c>
      <c r="G68" t="str">
        <f t="shared" si="2"/>
        <v>Normal</v>
      </c>
      <c r="H68" s="4">
        <f t="shared" si="3"/>
        <v>0.93939393939393945</v>
      </c>
    </row>
    <row r="69" spans="1:8" x14ac:dyDescent="0.25">
      <c r="A69">
        <v>68</v>
      </c>
      <c r="B69">
        <v>14</v>
      </c>
      <c r="C69">
        <v>2.2000000000000002</v>
      </c>
      <c r="D69">
        <v>3.9</v>
      </c>
      <c r="E69">
        <v>75.099999999999994</v>
      </c>
      <c r="F69">
        <v>2.2999999999999998</v>
      </c>
      <c r="G69" t="str">
        <f t="shared" si="2"/>
        <v>Normal</v>
      </c>
      <c r="H69" s="4">
        <f t="shared" si="3"/>
        <v>0.56410256410256421</v>
      </c>
    </row>
    <row r="70" spans="1:8" x14ac:dyDescent="0.25">
      <c r="A70">
        <v>69</v>
      </c>
      <c r="B70">
        <v>16</v>
      </c>
      <c r="C70">
        <v>3.1</v>
      </c>
      <c r="D70">
        <v>3</v>
      </c>
      <c r="E70">
        <v>69.900000000000006</v>
      </c>
      <c r="F70">
        <v>0.8</v>
      </c>
      <c r="G70" t="str">
        <f t="shared" si="2"/>
        <v>Normal</v>
      </c>
      <c r="H70" s="4">
        <f t="shared" si="3"/>
        <v>1.0333333333333334</v>
      </c>
    </row>
    <row r="71" spans="1:8" x14ac:dyDescent="0.25">
      <c r="A71">
        <v>70</v>
      </c>
      <c r="B71">
        <v>16</v>
      </c>
      <c r="C71">
        <v>0.6</v>
      </c>
      <c r="D71">
        <v>1.6</v>
      </c>
      <c r="E71">
        <v>80.5</v>
      </c>
      <c r="F71">
        <v>1.5</v>
      </c>
      <c r="G71" t="str">
        <f t="shared" si="2"/>
        <v>Normal</v>
      </c>
      <c r="H71" s="4">
        <f t="shared" si="3"/>
        <v>0.37499999999999994</v>
      </c>
    </row>
    <row r="72" spans="1:8" x14ac:dyDescent="0.25">
      <c r="A72">
        <v>71</v>
      </c>
      <c r="B72">
        <v>13</v>
      </c>
      <c r="C72">
        <v>2.8</v>
      </c>
      <c r="D72">
        <v>1.7</v>
      </c>
      <c r="E72">
        <v>74.8</v>
      </c>
      <c r="F72">
        <v>2.5</v>
      </c>
      <c r="G72" t="str">
        <f t="shared" si="2"/>
        <v>Normal</v>
      </c>
      <c r="H72" s="4">
        <f t="shared" si="3"/>
        <v>1.6470588235294117</v>
      </c>
    </row>
    <row r="73" spans="1:8" x14ac:dyDescent="0.25">
      <c r="A73">
        <v>72</v>
      </c>
      <c r="B73">
        <v>17</v>
      </c>
      <c r="C73">
        <v>2.6</v>
      </c>
      <c r="D73">
        <v>5</v>
      </c>
      <c r="E73">
        <v>85.8</v>
      </c>
      <c r="F73">
        <v>2.1</v>
      </c>
      <c r="G73" t="str">
        <f t="shared" si="2"/>
        <v>High</v>
      </c>
      <c r="H73" s="4">
        <f t="shared" si="3"/>
        <v>0.52</v>
      </c>
    </row>
    <row r="74" spans="1:8" x14ac:dyDescent="0.25">
      <c r="A74">
        <v>73</v>
      </c>
      <c r="B74">
        <v>17</v>
      </c>
      <c r="C74">
        <v>2.2999999999999998</v>
      </c>
      <c r="D74">
        <v>3.8</v>
      </c>
      <c r="E74">
        <v>79.7</v>
      </c>
      <c r="F74">
        <v>2.2000000000000002</v>
      </c>
      <c r="G74" t="str">
        <f t="shared" si="2"/>
        <v>Normal</v>
      </c>
      <c r="H74" s="4">
        <f t="shared" si="3"/>
        <v>0.60526315789473684</v>
      </c>
    </row>
    <row r="75" spans="1:8" x14ac:dyDescent="0.25">
      <c r="A75">
        <v>74</v>
      </c>
      <c r="B75">
        <v>14</v>
      </c>
      <c r="C75">
        <v>2</v>
      </c>
      <c r="D75">
        <v>5</v>
      </c>
      <c r="E75">
        <v>77.2</v>
      </c>
      <c r="F75">
        <v>2.6</v>
      </c>
      <c r="G75" t="str">
        <f t="shared" si="2"/>
        <v>High</v>
      </c>
      <c r="H75" s="4">
        <f t="shared" si="3"/>
        <v>0.4</v>
      </c>
    </row>
    <row r="76" spans="1:8" x14ac:dyDescent="0.25">
      <c r="A76">
        <v>75</v>
      </c>
      <c r="B76">
        <v>17</v>
      </c>
      <c r="C76">
        <v>1.9</v>
      </c>
      <c r="D76">
        <v>5.2</v>
      </c>
      <c r="E76">
        <v>66.5</v>
      </c>
      <c r="F76">
        <v>2.6</v>
      </c>
      <c r="G76" t="str">
        <f t="shared" si="2"/>
        <v>High</v>
      </c>
      <c r="H76" s="4">
        <f t="shared" si="3"/>
        <v>0.36538461538461536</v>
      </c>
    </row>
    <row r="77" spans="1:8" x14ac:dyDescent="0.25">
      <c r="A77">
        <v>76</v>
      </c>
      <c r="B77">
        <v>14</v>
      </c>
      <c r="C77">
        <v>1.7</v>
      </c>
      <c r="D77">
        <v>4.2</v>
      </c>
      <c r="E77">
        <v>65.7</v>
      </c>
      <c r="F77">
        <v>2.2999999999999998</v>
      </c>
      <c r="G77" t="str">
        <f t="shared" si="2"/>
        <v>High</v>
      </c>
      <c r="H77" s="4">
        <f t="shared" si="3"/>
        <v>0.40476190476190471</v>
      </c>
    </row>
    <row r="78" spans="1:8" x14ac:dyDescent="0.25">
      <c r="A78">
        <v>77</v>
      </c>
      <c r="B78">
        <v>13</v>
      </c>
      <c r="C78">
        <v>0.2</v>
      </c>
      <c r="D78">
        <v>2.2000000000000002</v>
      </c>
      <c r="E78">
        <v>69.5</v>
      </c>
      <c r="F78">
        <v>1.6</v>
      </c>
      <c r="G78" t="str">
        <f t="shared" si="2"/>
        <v>Normal</v>
      </c>
      <c r="H78" s="4">
        <f t="shared" si="3"/>
        <v>9.0909090909090912E-2</v>
      </c>
    </row>
    <row r="79" spans="1:8" x14ac:dyDescent="0.25">
      <c r="A79">
        <v>78</v>
      </c>
      <c r="B79">
        <v>16</v>
      </c>
      <c r="C79">
        <v>2.2000000000000002</v>
      </c>
      <c r="D79">
        <v>4.3</v>
      </c>
      <c r="E79">
        <v>88.4</v>
      </c>
      <c r="F79">
        <v>1.2</v>
      </c>
      <c r="G79" t="str">
        <f t="shared" si="2"/>
        <v>High</v>
      </c>
      <c r="H79" s="4">
        <f t="shared" si="3"/>
        <v>0.51162790697674421</v>
      </c>
    </row>
    <row r="80" spans="1:8" x14ac:dyDescent="0.25">
      <c r="A80">
        <v>79</v>
      </c>
      <c r="B80">
        <v>16</v>
      </c>
      <c r="C80">
        <v>3.6</v>
      </c>
      <c r="D80">
        <v>6.1</v>
      </c>
      <c r="E80">
        <v>65.900000000000006</v>
      </c>
      <c r="F80">
        <v>1.6</v>
      </c>
      <c r="G80" t="str">
        <f t="shared" si="2"/>
        <v>High</v>
      </c>
      <c r="H80" s="4">
        <f t="shared" si="3"/>
        <v>0.59016393442622961</v>
      </c>
    </row>
    <row r="81" spans="1:8" x14ac:dyDescent="0.25">
      <c r="A81">
        <v>80</v>
      </c>
      <c r="B81">
        <v>16</v>
      </c>
      <c r="C81">
        <v>2.2000000000000002</v>
      </c>
      <c r="D81">
        <v>3.3</v>
      </c>
      <c r="E81">
        <v>72.599999999999994</v>
      </c>
      <c r="F81">
        <v>1.1000000000000001</v>
      </c>
      <c r="G81" t="str">
        <f t="shared" si="2"/>
        <v>Normal</v>
      </c>
      <c r="H81" s="4">
        <f t="shared" si="3"/>
        <v>0.66666666666666674</v>
      </c>
    </row>
    <row r="82" spans="1:8" x14ac:dyDescent="0.25">
      <c r="A82">
        <v>81</v>
      </c>
      <c r="B82">
        <v>17</v>
      </c>
      <c r="C82">
        <v>3.1</v>
      </c>
      <c r="D82">
        <v>4.5</v>
      </c>
      <c r="E82">
        <v>47.6</v>
      </c>
      <c r="F82">
        <v>0</v>
      </c>
      <c r="G82" t="str">
        <f t="shared" si="2"/>
        <v>High</v>
      </c>
      <c r="H82" s="4">
        <f t="shared" si="3"/>
        <v>0.68888888888888888</v>
      </c>
    </row>
    <row r="83" spans="1:8" x14ac:dyDescent="0.25">
      <c r="A83">
        <v>82</v>
      </c>
      <c r="B83">
        <v>13</v>
      </c>
      <c r="C83">
        <v>1.4</v>
      </c>
      <c r="D83">
        <v>4</v>
      </c>
      <c r="E83">
        <v>76.8</v>
      </c>
      <c r="F83">
        <v>1.3</v>
      </c>
      <c r="G83" t="str">
        <f t="shared" si="2"/>
        <v>Normal</v>
      </c>
      <c r="H83" s="4">
        <f t="shared" si="3"/>
        <v>0.35</v>
      </c>
    </row>
    <row r="84" spans="1:8" x14ac:dyDescent="0.25">
      <c r="A84">
        <v>83</v>
      </c>
      <c r="B84">
        <v>17</v>
      </c>
      <c r="C84">
        <v>1.2</v>
      </c>
      <c r="D84">
        <v>6.1</v>
      </c>
      <c r="E84">
        <v>92.6</v>
      </c>
      <c r="F84">
        <v>1.8</v>
      </c>
      <c r="G84" t="str">
        <f t="shared" si="2"/>
        <v>High</v>
      </c>
      <c r="H84" s="4">
        <f t="shared" si="3"/>
        <v>0.19672131147540983</v>
      </c>
    </row>
    <row r="85" spans="1:8" x14ac:dyDescent="0.25">
      <c r="A85">
        <v>84</v>
      </c>
      <c r="B85">
        <v>17</v>
      </c>
      <c r="C85">
        <v>1.7</v>
      </c>
      <c r="D85">
        <v>3</v>
      </c>
      <c r="E85">
        <v>60.7</v>
      </c>
      <c r="F85">
        <v>1</v>
      </c>
      <c r="G85" t="str">
        <f t="shared" si="2"/>
        <v>Normal</v>
      </c>
      <c r="H85" s="4">
        <f t="shared" si="3"/>
        <v>0.56666666666666665</v>
      </c>
    </row>
    <row r="86" spans="1:8" x14ac:dyDescent="0.25">
      <c r="A86">
        <v>85</v>
      </c>
      <c r="B86">
        <v>13</v>
      </c>
      <c r="C86">
        <v>1.5</v>
      </c>
      <c r="D86">
        <v>5.7</v>
      </c>
      <c r="E86">
        <v>100</v>
      </c>
      <c r="F86">
        <v>1.3</v>
      </c>
      <c r="G86" t="str">
        <f t="shared" si="2"/>
        <v>High</v>
      </c>
      <c r="H86" s="4">
        <f t="shared" si="3"/>
        <v>0.26315789473684209</v>
      </c>
    </row>
    <row r="87" spans="1:8" x14ac:dyDescent="0.25">
      <c r="A87">
        <v>86</v>
      </c>
      <c r="B87">
        <v>13</v>
      </c>
      <c r="C87">
        <v>1.3</v>
      </c>
      <c r="D87">
        <v>3.4</v>
      </c>
      <c r="E87">
        <v>71.8</v>
      </c>
      <c r="F87">
        <v>1.4</v>
      </c>
      <c r="G87" t="str">
        <f t="shared" si="2"/>
        <v>Normal</v>
      </c>
      <c r="H87" s="4">
        <f t="shared" si="3"/>
        <v>0.38235294117647062</v>
      </c>
    </row>
    <row r="88" spans="1:8" x14ac:dyDescent="0.25">
      <c r="A88">
        <v>87</v>
      </c>
      <c r="B88">
        <v>13</v>
      </c>
      <c r="C88">
        <v>2.9</v>
      </c>
      <c r="D88">
        <v>3</v>
      </c>
      <c r="E88">
        <v>44.3</v>
      </c>
      <c r="F88">
        <v>2.6</v>
      </c>
      <c r="G88" t="str">
        <f t="shared" si="2"/>
        <v>Normal</v>
      </c>
      <c r="H88" s="4">
        <f t="shared" si="3"/>
        <v>0.96666666666666667</v>
      </c>
    </row>
    <row r="89" spans="1:8" x14ac:dyDescent="0.25">
      <c r="A89">
        <v>88</v>
      </c>
      <c r="B89">
        <v>13</v>
      </c>
      <c r="C89">
        <v>4.3</v>
      </c>
      <c r="D89">
        <v>4.2</v>
      </c>
      <c r="E89">
        <v>66.099999999999994</v>
      </c>
      <c r="F89">
        <v>1.2</v>
      </c>
      <c r="G89" t="str">
        <f t="shared" si="2"/>
        <v>High</v>
      </c>
      <c r="H89" s="4">
        <f t="shared" si="3"/>
        <v>1.0238095238095237</v>
      </c>
    </row>
    <row r="90" spans="1:8" x14ac:dyDescent="0.25">
      <c r="A90">
        <v>89</v>
      </c>
      <c r="B90">
        <v>16</v>
      </c>
      <c r="C90">
        <v>1.8</v>
      </c>
      <c r="D90">
        <v>4.5</v>
      </c>
      <c r="E90">
        <v>83.3</v>
      </c>
      <c r="F90">
        <v>2.6</v>
      </c>
      <c r="G90" t="str">
        <f t="shared" si="2"/>
        <v>High</v>
      </c>
      <c r="H90" s="4">
        <f t="shared" si="3"/>
        <v>0.4</v>
      </c>
    </row>
    <row r="91" spans="1:8" x14ac:dyDescent="0.25">
      <c r="A91">
        <v>90</v>
      </c>
      <c r="B91">
        <v>15</v>
      </c>
      <c r="C91">
        <v>0</v>
      </c>
      <c r="D91">
        <v>6.9</v>
      </c>
      <c r="E91">
        <v>90</v>
      </c>
      <c r="F91">
        <v>0</v>
      </c>
      <c r="G91" t="str">
        <f t="shared" si="2"/>
        <v>High</v>
      </c>
      <c r="H91" s="4">
        <f t="shared" si="3"/>
        <v>0</v>
      </c>
    </row>
    <row r="92" spans="1:8" x14ac:dyDescent="0.25">
      <c r="A92">
        <v>91</v>
      </c>
      <c r="B92">
        <v>15</v>
      </c>
      <c r="C92">
        <v>3.2</v>
      </c>
      <c r="D92">
        <v>4.5</v>
      </c>
      <c r="E92">
        <v>77.2</v>
      </c>
      <c r="F92">
        <v>2.6</v>
      </c>
      <c r="G92" t="str">
        <f t="shared" si="2"/>
        <v>High</v>
      </c>
      <c r="H92" s="4">
        <f t="shared" si="3"/>
        <v>0.71111111111111114</v>
      </c>
    </row>
    <row r="93" spans="1:8" x14ac:dyDescent="0.25">
      <c r="A93">
        <v>92</v>
      </c>
      <c r="B93">
        <v>13</v>
      </c>
      <c r="C93">
        <v>1.1000000000000001</v>
      </c>
      <c r="D93">
        <v>4.3</v>
      </c>
      <c r="E93">
        <v>85.7</v>
      </c>
      <c r="F93">
        <v>2.5</v>
      </c>
      <c r="G93" t="str">
        <f t="shared" si="2"/>
        <v>High</v>
      </c>
      <c r="H93" s="4">
        <f t="shared" si="3"/>
        <v>0.2558139534883721</v>
      </c>
    </row>
    <row r="94" spans="1:8" x14ac:dyDescent="0.25">
      <c r="A94">
        <v>93</v>
      </c>
      <c r="B94">
        <v>15</v>
      </c>
      <c r="C94">
        <v>1.3</v>
      </c>
      <c r="D94">
        <v>6.4</v>
      </c>
      <c r="E94">
        <v>58.2</v>
      </c>
      <c r="F94">
        <v>2.2000000000000002</v>
      </c>
      <c r="G94" t="str">
        <f t="shared" si="2"/>
        <v>High</v>
      </c>
      <c r="H94" s="4">
        <f t="shared" si="3"/>
        <v>0.203125</v>
      </c>
    </row>
    <row r="95" spans="1:8" x14ac:dyDescent="0.25">
      <c r="A95">
        <v>94</v>
      </c>
      <c r="B95">
        <v>15</v>
      </c>
      <c r="C95">
        <v>3</v>
      </c>
      <c r="D95">
        <v>4.9000000000000004</v>
      </c>
      <c r="E95">
        <v>63.2</v>
      </c>
      <c r="F95">
        <v>0</v>
      </c>
      <c r="G95" t="str">
        <f t="shared" si="2"/>
        <v>High</v>
      </c>
      <c r="H95" s="4">
        <f t="shared" si="3"/>
        <v>0.61224489795918358</v>
      </c>
    </row>
    <row r="96" spans="1:8" x14ac:dyDescent="0.25">
      <c r="A96">
        <v>95</v>
      </c>
      <c r="B96">
        <v>13</v>
      </c>
      <c r="C96">
        <v>2.2999999999999998</v>
      </c>
      <c r="D96">
        <v>3</v>
      </c>
      <c r="E96">
        <v>53.2</v>
      </c>
      <c r="F96">
        <v>2.2999999999999998</v>
      </c>
      <c r="G96" t="str">
        <f t="shared" si="2"/>
        <v>Normal</v>
      </c>
      <c r="H96" s="4">
        <f t="shared" si="3"/>
        <v>0.76666666666666661</v>
      </c>
    </row>
    <row r="97" spans="1:8" x14ac:dyDescent="0.25">
      <c r="A97">
        <v>96</v>
      </c>
      <c r="B97">
        <v>15</v>
      </c>
      <c r="C97">
        <v>1.8</v>
      </c>
      <c r="D97">
        <v>6</v>
      </c>
      <c r="E97">
        <v>63.9</v>
      </c>
      <c r="F97">
        <v>1.5</v>
      </c>
      <c r="G97" t="str">
        <f t="shared" si="2"/>
        <v>High</v>
      </c>
      <c r="H97" s="4">
        <f t="shared" si="3"/>
        <v>0.3</v>
      </c>
    </row>
    <row r="98" spans="1:8" x14ac:dyDescent="0.25">
      <c r="A98">
        <v>97</v>
      </c>
      <c r="B98">
        <v>17</v>
      </c>
      <c r="C98">
        <v>2.6</v>
      </c>
      <c r="D98">
        <v>2.9</v>
      </c>
      <c r="E98">
        <v>77.599999999999994</v>
      </c>
      <c r="F98">
        <v>0</v>
      </c>
      <c r="G98" t="str">
        <f t="shared" si="2"/>
        <v>Normal</v>
      </c>
      <c r="H98" s="4">
        <f t="shared" si="3"/>
        <v>0.89655172413793105</v>
      </c>
    </row>
    <row r="99" spans="1:8" x14ac:dyDescent="0.25">
      <c r="A99">
        <v>98</v>
      </c>
      <c r="B99">
        <v>14</v>
      </c>
      <c r="C99">
        <v>2.1</v>
      </c>
      <c r="D99">
        <v>3</v>
      </c>
      <c r="E99">
        <v>72.099999999999994</v>
      </c>
      <c r="F99">
        <v>2.5</v>
      </c>
      <c r="G99" t="str">
        <f t="shared" si="2"/>
        <v>Normal</v>
      </c>
      <c r="H99" s="4">
        <f t="shared" si="3"/>
        <v>0.70000000000000007</v>
      </c>
    </row>
    <row r="100" spans="1:8" x14ac:dyDescent="0.25">
      <c r="A100">
        <v>99</v>
      </c>
      <c r="B100">
        <v>14</v>
      </c>
      <c r="C100">
        <v>4.4000000000000004</v>
      </c>
      <c r="D100">
        <v>2.7</v>
      </c>
      <c r="E100">
        <v>78.7</v>
      </c>
      <c r="F100">
        <v>2.7</v>
      </c>
      <c r="G100" t="str">
        <f t="shared" si="2"/>
        <v>Normal</v>
      </c>
      <c r="H100" s="4">
        <f t="shared" si="3"/>
        <v>1.6296296296296298</v>
      </c>
    </row>
    <row r="101" spans="1:8" x14ac:dyDescent="0.25">
      <c r="A101">
        <v>100</v>
      </c>
      <c r="B101">
        <v>13</v>
      </c>
      <c r="C101">
        <v>1.8</v>
      </c>
      <c r="D101">
        <v>2.6</v>
      </c>
      <c r="E101">
        <v>60.6</v>
      </c>
      <c r="F101">
        <v>0</v>
      </c>
      <c r="G101" t="str">
        <f t="shared" si="2"/>
        <v>Normal</v>
      </c>
      <c r="H101" s="4">
        <f t="shared" si="3"/>
        <v>0.69230769230769229</v>
      </c>
    </row>
    <row r="102" spans="1:8" x14ac:dyDescent="0.25">
      <c r="A102">
        <v>101</v>
      </c>
      <c r="B102">
        <v>16</v>
      </c>
      <c r="C102">
        <v>1.6</v>
      </c>
      <c r="D102">
        <v>4.5</v>
      </c>
      <c r="E102">
        <v>61.2</v>
      </c>
      <c r="F102">
        <v>1.6</v>
      </c>
      <c r="G102" t="str">
        <f t="shared" si="2"/>
        <v>High</v>
      </c>
      <c r="H102" s="4">
        <f t="shared" si="3"/>
        <v>0.35555555555555557</v>
      </c>
    </row>
    <row r="103" spans="1:8" x14ac:dyDescent="0.25">
      <c r="A103">
        <v>102</v>
      </c>
      <c r="B103">
        <v>13</v>
      </c>
      <c r="C103">
        <v>2</v>
      </c>
      <c r="D103">
        <v>3.6</v>
      </c>
      <c r="E103">
        <v>72</v>
      </c>
      <c r="F103">
        <v>2.6</v>
      </c>
      <c r="G103" t="str">
        <f t="shared" si="2"/>
        <v>Normal</v>
      </c>
      <c r="H103" s="4">
        <f t="shared" si="3"/>
        <v>0.55555555555555558</v>
      </c>
    </row>
    <row r="104" spans="1:8" x14ac:dyDescent="0.25">
      <c r="A104">
        <v>103</v>
      </c>
      <c r="B104">
        <v>16</v>
      </c>
      <c r="C104">
        <v>2.1</v>
      </c>
      <c r="D104">
        <v>0</v>
      </c>
      <c r="E104">
        <v>64</v>
      </c>
      <c r="F104">
        <v>2.5</v>
      </c>
      <c r="G104" t="str">
        <f t="shared" si="2"/>
        <v>Normal</v>
      </c>
      <c r="H104" s="4">
        <f t="shared" si="3"/>
        <v>0</v>
      </c>
    </row>
    <row r="105" spans="1:8" x14ac:dyDescent="0.25">
      <c r="A105">
        <v>104</v>
      </c>
      <c r="B105">
        <v>14</v>
      </c>
      <c r="C105">
        <v>0</v>
      </c>
      <c r="D105">
        <v>3.6</v>
      </c>
      <c r="E105">
        <v>83</v>
      </c>
      <c r="F105">
        <v>2.2000000000000002</v>
      </c>
      <c r="G105" t="str">
        <f t="shared" si="2"/>
        <v>Normal</v>
      </c>
      <c r="H105" s="4">
        <f t="shared" si="3"/>
        <v>0</v>
      </c>
    </row>
    <row r="106" spans="1:8" x14ac:dyDescent="0.25">
      <c r="A106">
        <v>105</v>
      </c>
      <c r="B106">
        <v>13</v>
      </c>
      <c r="C106">
        <v>0.5</v>
      </c>
      <c r="D106">
        <v>3.2</v>
      </c>
      <c r="E106">
        <v>63.7</v>
      </c>
      <c r="F106">
        <v>0</v>
      </c>
      <c r="G106" t="str">
        <f t="shared" si="2"/>
        <v>Normal</v>
      </c>
      <c r="H106" s="4">
        <f t="shared" si="3"/>
        <v>0.15625</v>
      </c>
    </row>
    <row r="107" spans="1:8" x14ac:dyDescent="0.25">
      <c r="A107">
        <v>106</v>
      </c>
      <c r="B107">
        <v>17</v>
      </c>
      <c r="C107">
        <v>2.9</v>
      </c>
      <c r="D107">
        <v>5.3</v>
      </c>
      <c r="E107">
        <v>65</v>
      </c>
      <c r="F107">
        <v>2.1</v>
      </c>
      <c r="G107" t="str">
        <f t="shared" si="2"/>
        <v>High</v>
      </c>
      <c r="H107" s="4">
        <f t="shared" si="3"/>
        <v>0.54716981132075471</v>
      </c>
    </row>
    <row r="108" spans="1:8" x14ac:dyDescent="0.25">
      <c r="A108">
        <v>107</v>
      </c>
      <c r="B108">
        <v>15</v>
      </c>
      <c r="C108">
        <v>2</v>
      </c>
      <c r="D108">
        <v>3.2</v>
      </c>
      <c r="E108">
        <v>74.2</v>
      </c>
      <c r="F108">
        <v>1.3</v>
      </c>
      <c r="G108" t="str">
        <f t="shared" si="2"/>
        <v>Normal</v>
      </c>
      <c r="H108" s="4">
        <f t="shared" si="3"/>
        <v>0.625</v>
      </c>
    </row>
    <row r="109" spans="1:8" x14ac:dyDescent="0.25">
      <c r="A109">
        <v>108</v>
      </c>
      <c r="B109">
        <v>16</v>
      </c>
      <c r="C109">
        <v>3.3</v>
      </c>
      <c r="D109">
        <v>7.8</v>
      </c>
      <c r="E109">
        <v>66.099999999999994</v>
      </c>
      <c r="F109">
        <v>2.2999999999999998</v>
      </c>
      <c r="G109" t="str">
        <f t="shared" si="2"/>
        <v>High</v>
      </c>
      <c r="H109" s="4">
        <f t="shared" si="3"/>
        <v>0.42307692307692307</v>
      </c>
    </row>
    <row r="110" spans="1:8" x14ac:dyDescent="0.25">
      <c r="A110">
        <v>109</v>
      </c>
      <c r="B110">
        <v>15</v>
      </c>
      <c r="C110">
        <v>2.5</v>
      </c>
      <c r="D110">
        <v>6.1</v>
      </c>
      <c r="E110">
        <v>57.7</v>
      </c>
      <c r="F110">
        <v>1.7</v>
      </c>
      <c r="G110" t="str">
        <f t="shared" si="2"/>
        <v>High</v>
      </c>
      <c r="H110" s="4">
        <f t="shared" si="3"/>
        <v>0.4098360655737705</v>
      </c>
    </row>
    <row r="111" spans="1:8" x14ac:dyDescent="0.25">
      <c r="A111">
        <v>110</v>
      </c>
      <c r="B111">
        <v>15</v>
      </c>
      <c r="C111">
        <v>3</v>
      </c>
      <c r="D111">
        <v>3.4</v>
      </c>
      <c r="E111">
        <v>59</v>
      </c>
      <c r="F111">
        <v>1.5</v>
      </c>
      <c r="G111" t="str">
        <f t="shared" si="2"/>
        <v>Normal</v>
      </c>
      <c r="H111" s="4">
        <f t="shared" si="3"/>
        <v>0.88235294117647056</v>
      </c>
    </row>
    <row r="112" spans="1:8" x14ac:dyDescent="0.25">
      <c r="A112">
        <v>111</v>
      </c>
      <c r="B112">
        <v>13</v>
      </c>
      <c r="C112">
        <v>2.1</v>
      </c>
      <c r="D112">
        <v>5.7</v>
      </c>
      <c r="E112">
        <v>75.400000000000006</v>
      </c>
      <c r="F112">
        <v>2</v>
      </c>
      <c r="G112" t="str">
        <f t="shared" si="2"/>
        <v>High</v>
      </c>
      <c r="H112" s="4">
        <f t="shared" si="3"/>
        <v>0.36842105263157893</v>
      </c>
    </row>
    <row r="113" spans="1:8" x14ac:dyDescent="0.25">
      <c r="A113">
        <v>112</v>
      </c>
      <c r="B113">
        <v>15</v>
      </c>
      <c r="C113">
        <v>2.9</v>
      </c>
      <c r="D113">
        <v>0</v>
      </c>
      <c r="E113">
        <v>56.4</v>
      </c>
      <c r="F113">
        <v>1.4</v>
      </c>
      <c r="G113" t="str">
        <f t="shared" si="2"/>
        <v>Normal</v>
      </c>
      <c r="H113" s="4">
        <f t="shared" si="3"/>
        <v>0</v>
      </c>
    </row>
    <row r="114" spans="1:8" x14ac:dyDescent="0.25">
      <c r="A114">
        <v>113</v>
      </c>
      <c r="B114">
        <v>17</v>
      </c>
      <c r="C114">
        <v>4.2</v>
      </c>
      <c r="D114">
        <v>4.4000000000000004</v>
      </c>
      <c r="E114">
        <v>84</v>
      </c>
      <c r="F114">
        <v>1.5</v>
      </c>
      <c r="G114" t="str">
        <f t="shared" si="2"/>
        <v>High</v>
      </c>
      <c r="H114" s="4">
        <f t="shared" si="3"/>
        <v>0.95454545454545447</v>
      </c>
    </row>
    <row r="115" spans="1:8" x14ac:dyDescent="0.25">
      <c r="A115">
        <v>114</v>
      </c>
      <c r="B115">
        <v>15</v>
      </c>
      <c r="C115">
        <v>1.8</v>
      </c>
      <c r="D115">
        <v>5.2</v>
      </c>
      <c r="E115">
        <v>63.1</v>
      </c>
      <c r="F115">
        <v>1.1000000000000001</v>
      </c>
      <c r="G115" t="str">
        <f t="shared" si="2"/>
        <v>High</v>
      </c>
      <c r="H115" s="4">
        <f t="shared" si="3"/>
        <v>0.34615384615384615</v>
      </c>
    </row>
    <row r="116" spans="1:8" x14ac:dyDescent="0.25">
      <c r="A116">
        <v>115</v>
      </c>
      <c r="B116">
        <v>13</v>
      </c>
      <c r="C116">
        <v>2.4</v>
      </c>
      <c r="D116">
        <v>4.0999999999999996</v>
      </c>
      <c r="E116">
        <v>76.2</v>
      </c>
      <c r="F116">
        <v>0.2</v>
      </c>
      <c r="G116" t="str">
        <f t="shared" si="2"/>
        <v>High</v>
      </c>
      <c r="H116" s="4">
        <f t="shared" si="3"/>
        <v>0.58536585365853666</v>
      </c>
    </row>
    <row r="117" spans="1:8" x14ac:dyDescent="0.25">
      <c r="A117">
        <v>116</v>
      </c>
      <c r="B117">
        <v>17</v>
      </c>
      <c r="C117">
        <v>2</v>
      </c>
      <c r="D117">
        <v>4.4000000000000004</v>
      </c>
      <c r="E117">
        <v>63.7</v>
      </c>
      <c r="F117">
        <v>2</v>
      </c>
      <c r="G117" t="str">
        <f t="shared" si="2"/>
        <v>High</v>
      </c>
      <c r="H117" s="4">
        <f t="shared" si="3"/>
        <v>0.45454545454545453</v>
      </c>
    </row>
    <row r="118" spans="1:8" x14ac:dyDescent="0.25">
      <c r="A118">
        <v>117</v>
      </c>
      <c r="B118">
        <v>14</v>
      </c>
      <c r="C118">
        <v>4.0999999999999996</v>
      </c>
      <c r="D118">
        <v>5.2</v>
      </c>
      <c r="E118">
        <v>60.8</v>
      </c>
      <c r="F118">
        <v>0.9</v>
      </c>
      <c r="G118" t="str">
        <f t="shared" si="2"/>
        <v>High</v>
      </c>
      <c r="H118" s="4">
        <f t="shared" si="3"/>
        <v>0.78846153846153832</v>
      </c>
    </row>
    <row r="119" spans="1:8" x14ac:dyDescent="0.25">
      <c r="A119">
        <v>118</v>
      </c>
      <c r="B119">
        <v>15</v>
      </c>
      <c r="C119">
        <v>2.1</v>
      </c>
      <c r="D119">
        <v>7.1</v>
      </c>
      <c r="E119">
        <v>72.5</v>
      </c>
      <c r="F119">
        <v>1.3</v>
      </c>
      <c r="G119" t="str">
        <f t="shared" si="2"/>
        <v>High</v>
      </c>
      <c r="H119" s="4">
        <f t="shared" si="3"/>
        <v>0.29577464788732399</v>
      </c>
    </row>
    <row r="120" spans="1:8" x14ac:dyDescent="0.25">
      <c r="A120">
        <v>119</v>
      </c>
      <c r="B120">
        <v>13</v>
      </c>
      <c r="C120">
        <v>1.8</v>
      </c>
      <c r="D120">
        <v>4.4000000000000004</v>
      </c>
      <c r="E120">
        <v>80.5</v>
      </c>
      <c r="F120">
        <v>1.7</v>
      </c>
      <c r="G120" t="str">
        <f t="shared" si="2"/>
        <v>High</v>
      </c>
      <c r="H120" s="4">
        <f t="shared" si="3"/>
        <v>0.40909090909090906</v>
      </c>
    </row>
    <row r="121" spans="1:8" x14ac:dyDescent="0.25">
      <c r="A121">
        <v>120</v>
      </c>
      <c r="B121">
        <v>14</v>
      </c>
      <c r="C121">
        <v>1.9</v>
      </c>
      <c r="D121">
        <v>3.3</v>
      </c>
      <c r="E121">
        <v>67.5</v>
      </c>
      <c r="F121">
        <v>0</v>
      </c>
      <c r="G121" t="str">
        <f t="shared" si="2"/>
        <v>Normal</v>
      </c>
      <c r="H121" s="4">
        <f t="shared" si="3"/>
        <v>0.5757575757575758</v>
      </c>
    </row>
    <row r="122" spans="1:8" x14ac:dyDescent="0.25">
      <c r="A122">
        <v>121</v>
      </c>
      <c r="B122">
        <v>14</v>
      </c>
      <c r="C122">
        <v>2.4</v>
      </c>
      <c r="D122">
        <v>1</v>
      </c>
      <c r="E122">
        <v>69.3</v>
      </c>
      <c r="F122">
        <v>0</v>
      </c>
      <c r="G122" t="str">
        <f t="shared" si="2"/>
        <v>Normal</v>
      </c>
      <c r="H122" s="4">
        <f t="shared" si="3"/>
        <v>2.4</v>
      </c>
    </row>
    <row r="123" spans="1:8" x14ac:dyDescent="0.25">
      <c r="A123">
        <v>122</v>
      </c>
      <c r="B123">
        <v>16</v>
      </c>
      <c r="C123">
        <v>1.7</v>
      </c>
      <c r="D123">
        <v>6.9</v>
      </c>
      <c r="E123">
        <v>78.099999999999994</v>
      </c>
      <c r="F123">
        <v>1.3</v>
      </c>
      <c r="G123" t="str">
        <f t="shared" si="2"/>
        <v>High</v>
      </c>
      <c r="H123" s="4">
        <f t="shared" si="3"/>
        <v>0.24637681159420288</v>
      </c>
    </row>
    <row r="124" spans="1:8" x14ac:dyDescent="0.25">
      <c r="A124">
        <v>123</v>
      </c>
      <c r="B124">
        <v>17</v>
      </c>
      <c r="C124">
        <v>2.1</v>
      </c>
      <c r="D124">
        <v>3.6</v>
      </c>
      <c r="E124">
        <v>78.400000000000006</v>
      </c>
      <c r="F124">
        <v>1.9</v>
      </c>
      <c r="G124" t="str">
        <f t="shared" si="2"/>
        <v>Normal</v>
      </c>
      <c r="H124" s="4">
        <f t="shared" si="3"/>
        <v>0.58333333333333337</v>
      </c>
    </row>
    <row r="125" spans="1:8" x14ac:dyDescent="0.25">
      <c r="A125">
        <v>124</v>
      </c>
      <c r="B125">
        <v>15</v>
      </c>
      <c r="C125">
        <v>2.7</v>
      </c>
      <c r="D125">
        <v>4.8</v>
      </c>
      <c r="E125">
        <v>69.599999999999994</v>
      </c>
      <c r="F125">
        <v>2.1</v>
      </c>
      <c r="G125" t="str">
        <f t="shared" si="2"/>
        <v>High</v>
      </c>
      <c r="H125" s="4">
        <f t="shared" si="3"/>
        <v>0.56250000000000011</v>
      </c>
    </row>
    <row r="126" spans="1:8" x14ac:dyDescent="0.25">
      <c r="A126">
        <v>125</v>
      </c>
      <c r="B126">
        <v>13</v>
      </c>
      <c r="C126">
        <v>2.4</v>
      </c>
      <c r="D126">
        <v>6.9</v>
      </c>
      <c r="E126">
        <v>65.599999999999994</v>
      </c>
      <c r="F126">
        <v>0.2</v>
      </c>
      <c r="G126" t="str">
        <f t="shared" si="2"/>
        <v>High</v>
      </c>
      <c r="H126" s="4">
        <f t="shared" si="3"/>
        <v>0.34782608695652173</v>
      </c>
    </row>
    <row r="127" spans="1:8" x14ac:dyDescent="0.25">
      <c r="A127">
        <v>126</v>
      </c>
      <c r="B127">
        <v>16</v>
      </c>
      <c r="C127">
        <v>3.3</v>
      </c>
      <c r="D127">
        <v>4.3</v>
      </c>
      <c r="E127">
        <v>70.8</v>
      </c>
      <c r="F127">
        <v>2</v>
      </c>
      <c r="G127" t="str">
        <f t="shared" si="2"/>
        <v>High</v>
      </c>
      <c r="H127" s="4">
        <f t="shared" si="3"/>
        <v>0.76744186046511631</v>
      </c>
    </row>
    <row r="128" spans="1:8" x14ac:dyDescent="0.25">
      <c r="A128">
        <v>127</v>
      </c>
      <c r="B128">
        <v>17</v>
      </c>
      <c r="C128">
        <v>2.2000000000000002</v>
      </c>
      <c r="D128">
        <v>3.7</v>
      </c>
      <c r="E128">
        <v>68.099999999999994</v>
      </c>
      <c r="F128">
        <v>1.3</v>
      </c>
      <c r="G128" t="str">
        <f t="shared" si="2"/>
        <v>Normal</v>
      </c>
      <c r="H128" s="4">
        <f t="shared" si="3"/>
        <v>0.59459459459459463</v>
      </c>
    </row>
    <row r="129" spans="1:8" x14ac:dyDescent="0.25">
      <c r="A129">
        <v>128</v>
      </c>
      <c r="B129">
        <v>16</v>
      </c>
      <c r="C129">
        <v>2.2999999999999998</v>
      </c>
      <c r="D129">
        <v>6.1</v>
      </c>
      <c r="E129">
        <v>73.099999999999994</v>
      </c>
      <c r="F129">
        <v>0.8</v>
      </c>
      <c r="G129" t="str">
        <f t="shared" si="2"/>
        <v>High</v>
      </c>
      <c r="H129" s="4">
        <f t="shared" si="3"/>
        <v>0.37704918032786883</v>
      </c>
    </row>
    <row r="130" spans="1:8" x14ac:dyDescent="0.25">
      <c r="A130">
        <v>129</v>
      </c>
      <c r="B130">
        <v>17</v>
      </c>
      <c r="C130">
        <v>2.8</v>
      </c>
      <c r="D130">
        <v>4.7</v>
      </c>
      <c r="E130">
        <v>58.1</v>
      </c>
      <c r="F130">
        <v>1</v>
      </c>
      <c r="G130" t="str">
        <f t="shared" ref="G130:G193" si="4">IF(D130&gt;4,"High","Normal")</f>
        <v>High</v>
      </c>
      <c r="H130" s="4">
        <f t="shared" ref="H130:H193" si="5">IFERROR(C130/D130,0)</f>
        <v>0.5957446808510638</v>
      </c>
    </row>
    <row r="131" spans="1:8" x14ac:dyDescent="0.25">
      <c r="A131">
        <v>130</v>
      </c>
      <c r="B131">
        <v>17</v>
      </c>
      <c r="C131">
        <v>4.7</v>
      </c>
      <c r="D131">
        <v>4.9000000000000004</v>
      </c>
      <c r="E131">
        <v>72.8</v>
      </c>
      <c r="F131">
        <v>2.1</v>
      </c>
      <c r="G131" t="str">
        <f t="shared" si="4"/>
        <v>High</v>
      </c>
      <c r="H131" s="4">
        <f t="shared" si="5"/>
        <v>0.95918367346938771</v>
      </c>
    </row>
    <row r="132" spans="1:8" x14ac:dyDescent="0.25">
      <c r="A132">
        <v>131</v>
      </c>
      <c r="B132">
        <v>15</v>
      </c>
      <c r="C132">
        <v>1.7</v>
      </c>
      <c r="D132">
        <v>1.7</v>
      </c>
      <c r="E132">
        <v>62.8</v>
      </c>
      <c r="F132">
        <v>1.7</v>
      </c>
      <c r="G132" t="str">
        <f t="shared" si="4"/>
        <v>Normal</v>
      </c>
      <c r="H132" s="4">
        <f t="shared" si="5"/>
        <v>1</v>
      </c>
    </row>
    <row r="133" spans="1:8" x14ac:dyDescent="0.25">
      <c r="A133">
        <v>132</v>
      </c>
      <c r="B133">
        <v>17</v>
      </c>
      <c r="C133">
        <v>4.4000000000000004</v>
      </c>
      <c r="D133">
        <v>5.8</v>
      </c>
      <c r="E133">
        <v>79.099999999999994</v>
      </c>
      <c r="F133">
        <v>1.5</v>
      </c>
      <c r="G133" t="str">
        <f t="shared" si="4"/>
        <v>High</v>
      </c>
      <c r="H133" s="4">
        <f t="shared" si="5"/>
        <v>0.75862068965517249</v>
      </c>
    </row>
    <row r="134" spans="1:8" x14ac:dyDescent="0.25">
      <c r="A134">
        <v>133</v>
      </c>
      <c r="B134">
        <v>16</v>
      </c>
      <c r="C134">
        <v>1.3</v>
      </c>
      <c r="D134">
        <v>4.5999999999999996</v>
      </c>
      <c r="E134">
        <v>63.3</v>
      </c>
      <c r="F134">
        <v>1.7</v>
      </c>
      <c r="G134" t="str">
        <f t="shared" si="4"/>
        <v>High</v>
      </c>
      <c r="H134" s="4">
        <f t="shared" si="5"/>
        <v>0.28260869565217395</v>
      </c>
    </row>
    <row r="135" spans="1:8" x14ac:dyDescent="0.25">
      <c r="A135">
        <v>134</v>
      </c>
      <c r="B135">
        <v>17</v>
      </c>
      <c r="C135">
        <v>2.7</v>
      </c>
      <c r="D135">
        <v>1.9</v>
      </c>
      <c r="E135">
        <v>63.4</v>
      </c>
      <c r="F135">
        <v>2.2000000000000002</v>
      </c>
      <c r="G135" t="str">
        <f t="shared" si="4"/>
        <v>Normal</v>
      </c>
      <c r="H135" s="4">
        <f t="shared" si="5"/>
        <v>1.4210526315789476</v>
      </c>
    </row>
    <row r="136" spans="1:8" x14ac:dyDescent="0.25">
      <c r="A136">
        <v>135</v>
      </c>
      <c r="B136">
        <v>15</v>
      </c>
      <c r="C136">
        <v>0</v>
      </c>
      <c r="D136">
        <v>4.7</v>
      </c>
      <c r="E136">
        <v>74.5</v>
      </c>
      <c r="F136">
        <v>1.4</v>
      </c>
      <c r="G136" t="str">
        <f t="shared" si="4"/>
        <v>High</v>
      </c>
      <c r="H136" s="4">
        <f t="shared" si="5"/>
        <v>0</v>
      </c>
    </row>
    <row r="137" spans="1:8" x14ac:dyDescent="0.25">
      <c r="A137">
        <v>136</v>
      </c>
      <c r="B137">
        <v>15</v>
      </c>
      <c r="C137">
        <v>1.7</v>
      </c>
      <c r="D137">
        <v>0.9</v>
      </c>
      <c r="E137">
        <v>70.099999999999994</v>
      </c>
      <c r="F137">
        <v>1.5</v>
      </c>
      <c r="G137" t="str">
        <f t="shared" si="4"/>
        <v>Normal</v>
      </c>
      <c r="H137" s="4">
        <f t="shared" si="5"/>
        <v>1.8888888888888888</v>
      </c>
    </row>
    <row r="138" spans="1:8" x14ac:dyDescent="0.25">
      <c r="A138">
        <v>137</v>
      </c>
      <c r="B138">
        <v>16</v>
      </c>
      <c r="C138">
        <v>3.2</v>
      </c>
      <c r="D138">
        <v>7.5</v>
      </c>
      <c r="E138">
        <v>92.8</v>
      </c>
      <c r="F138">
        <v>2.4</v>
      </c>
      <c r="G138" t="str">
        <f t="shared" si="4"/>
        <v>High</v>
      </c>
      <c r="H138" s="4">
        <f t="shared" si="5"/>
        <v>0.42666666666666669</v>
      </c>
    </row>
    <row r="139" spans="1:8" x14ac:dyDescent="0.25">
      <c r="A139">
        <v>138</v>
      </c>
      <c r="B139">
        <v>14</v>
      </c>
      <c r="C139">
        <v>3.1</v>
      </c>
      <c r="D139">
        <v>2.2999999999999998</v>
      </c>
      <c r="E139">
        <v>0</v>
      </c>
      <c r="F139">
        <v>1.2</v>
      </c>
      <c r="G139" t="str">
        <f t="shared" si="4"/>
        <v>Normal</v>
      </c>
      <c r="H139" s="4">
        <f t="shared" si="5"/>
        <v>1.347826086956522</v>
      </c>
    </row>
    <row r="140" spans="1:8" x14ac:dyDescent="0.25">
      <c r="A140">
        <v>139</v>
      </c>
      <c r="B140">
        <v>14</v>
      </c>
      <c r="C140">
        <v>2</v>
      </c>
      <c r="D140">
        <v>6.4</v>
      </c>
      <c r="E140">
        <v>71.099999999999994</v>
      </c>
      <c r="F140">
        <v>2</v>
      </c>
      <c r="G140" t="str">
        <f t="shared" si="4"/>
        <v>High</v>
      </c>
      <c r="H140" s="4">
        <f t="shared" si="5"/>
        <v>0.3125</v>
      </c>
    </row>
    <row r="141" spans="1:8" x14ac:dyDescent="0.25">
      <c r="A141">
        <v>140</v>
      </c>
      <c r="B141">
        <v>17</v>
      </c>
      <c r="C141">
        <v>0.4</v>
      </c>
      <c r="D141">
        <v>2.8</v>
      </c>
      <c r="E141">
        <v>81.3</v>
      </c>
      <c r="F141">
        <v>1.1000000000000001</v>
      </c>
      <c r="G141" t="str">
        <f t="shared" si="4"/>
        <v>Normal</v>
      </c>
      <c r="H141" s="4">
        <f t="shared" si="5"/>
        <v>0.14285714285714288</v>
      </c>
    </row>
    <row r="142" spans="1:8" x14ac:dyDescent="0.25">
      <c r="A142">
        <v>141</v>
      </c>
      <c r="B142">
        <v>13</v>
      </c>
      <c r="C142">
        <v>2.1</v>
      </c>
      <c r="D142">
        <v>4.8</v>
      </c>
      <c r="E142">
        <v>64.2</v>
      </c>
      <c r="F142">
        <v>1.2</v>
      </c>
      <c r="G142" t="str">
        <f t="shared" si="4"/>
        <v>High</v>
      </c>
      <c r="H142" s="4">
        <f t="shared" si="5"/>
        <v>0.43750000000000006</v>
      </c>
    </row>
    <row r="143" spans="1:8" x14ac:dyDescent="0.25">
      <c r="A143">
        <v>142</v>
      </c>
      <c r="B143">
        <v>17</v>
      </c>
      <c r="C143">
        <v>2.6</v>
      </c>
      <c r="D143">
        <v>2.6</v>
      </c>
      <c r="E143">
        <v>60.9</v>
      </c>
      <c r="F143">
        <v>1.4</v>
      </c>
      <c r="G143" t="str">
        <f t="shared" si="4"/>
        <v>Normal</v>
      </c>
      <c r="H143" s="4">
        <f t="shared" si="5"/>
        <v>1</v>
      </c>
    </row>
    <row r="144" spans="1:8" x14ac:dyDescent="0.25">
      <c r="A144">
        <v>143</v>
      </c>
      <c r="B144">
        <v>16</v>
      </c>
      <c r="C144">
        <v>2.5</v>
      </c>
      <c r="D144">
        <v>5.5</v>
      </c>
      <c r="E144">
        <v>61.3</v>
      </c>
      <c r="F144">
        <v>1.9</v>
      </c>
      <c r="G144" t="str">
        <f t="shared" si="4"/>
        <v>High</v>
      </c>
      <c r="H144" s="4">
        <f t="shared" si="5"/>
        <v>0.45454545454545453</v>
      </c>
    </row>
    <row r="145" spans="1:8" x14ac:dyDescent="0.25">
      <c r="A145">
        <v>144</v>
      </c>
      <c r="B145">
        <v>16</v>
      </c>
      <c r="C145">
        <v>3.3</v>
      </c>
      <c r="D145">
        <v>3.6</v>
      </c>
      <c r="E145">
        <v>53.9</v>
      </c>
      <c r="F145">
        <v>2.5</v>
      </c>
      <c r="G145" t="str">
        <f t="shared" si="4"/>
        <v>Normal</v>
      </c>
      <c r="H145" s="4">
        <f t="shared" si="5"/>
        <v>0.91666666666666663</v>
      </c>
    </row>
    <row r="146" spans="1:8" x14ac:dyDescent="0.25">
      <c r="A146">
        <v>145</v>
      </c>
      <c r="B146">
        <v>16</v>
      </c>
      <c r="C146">
        <v>4.4000000000000004</v>
      </c>
      <c r="D146">
        <v>4.7</v>
      </c>
      <c r="E146">
        <v>83.5</v>
      </c>
      <c r="F146">
        <v>1.6</v>
      </c>
      <c r="G146" t="str">
        <f t="shared" si="4"/>
        <v>High</v>
      </c>
      <c r="H146" s="4">
        <f t="shared" si="5"/>
        <v>0.93617021276595747</v>
      </c>
    </row>
    <row r="147" spans="1:8" x14ac:dyDescent="0.25">
      <c r="A147">
        <v>146</v>
      </c>
      <c r="B147">
        <v>16</v>
      </c>
      <c r="C147">
        <v>2.9</v>
      </c>
      <c r="D147">
        <v>4</v>
      </c>
      <c r="E147">
        <v>66.7</v>
      </c>
      <c r="F147">
        <v>0.3</v>
      </c>
      <c r="G147" t="str">
        <f t="shared" si="4"/>
        <v>Normal</v>
      </c>
      <c r="H147" s="4">
        <f t="shared" si="5"/>
        <v>0.72499999999999998</v>
      </c>
    </row>
    <row r="148" spans="1:8" x14ac:dyDescent="0.25">
      <c r="A148">
        <v>147</v>
      </c>
      <c r="B148">
        <v>16</v>
      </c>
      <c r="C148">
        <v>3.1</v>
      </c>
      <c r="D148">
        <v>2</v>
      </c>
      <c r="E148">
        <v>65.5</v>
      </c>
      <c r="F148">
        <v>2</v>
      </c>
      <c r="G148" t="str">
        <f t="shared" si="4"/>
        <v>Normal</v>
      </c>
      <c r="H148" s="4">
        <f t="shared" si="5"/>
        <v>1.55</v>
      </c>
    </row>
    <row r="149" spans="1:8" x14ac:dyDescent="0.25">
      <c r="A149">
        <v>148</v>
      </c>
      <c r="B149">
        <v>15</v>
      </c>
      <c r="C149">
        <v>2.6</v>
      </c>
      <c r="D149">
        <v>4.8</v>
      </c>
      <c r="E149">
        <v>48.8</v>
      </c>
      <c r="F149">
        <v>3.5</v>
      </c>
      <c r="G149" t="str">
        <f t="shared" si="4"/>
        <v>High</v>
      </c>
      <c r="H149" s="4">
        <f t="shared" si="5"/>
        <v>0.54166666666666674</v>
      </c>
    </row>
    <row r="150" spans="1:8" x14ac:dyDescent="0.25">
      <c r="A150">
        <v>149</v>
      </c>
      <c r="B150">
        <v>14</v>
      </c>
      <c r="C150">
        <v>3.7</v>
      </c>
      <c r="D150">
        <v>3.2</v>
      </c>
      <c r="E150">
        <v>55.7</v>
      </c>
      <c r="F150">
        <v>1.6</v>
      </c>
      <c r="G150" t="str">
        <f t="shared" si="4"/>
        <v>Normal</v>
      </c>
      <c r="H150" s="4">
        <f t="shared" si="5"/>
        <v>1.15625</v>
      </c>
    </row>
    <row r="151" spans="1:8" x14ac:dyDescent="0.25">
      <c r="A151">
        <v>150</v>
      </c>
      <c r="B151">
        <v>16</v>
      </c>
      <c r="C151">
        <v>3</v>
      </c>
      <c r="D151">
        <v>5.6</v>
      </c>
      <c r="E151">
        <v>84.7</v>
      </c>
      <c r="F151">
        <v>0.1</v>
      </c>
      <c r="G151" t="str">
        <f t="shared" si="4"/>
        <v>High</v>
      </c>
      <c r="H151" s="4">
        <f t="shared" si="5"/>
        <v>0.5357142857142857</v>
      </c>
    </row>
    <row r="152" spans="1:8" x14ac:dyDescent="0.25">
      <c r="A152">
        <v>151</v>
      </c>
      <c r="B152">
        <v>13</v>
      </c>
      <c r="C152">
        <v>3.2</v>
      </c>
      <c r="D152">
        <v>3.6</v>
      </c>
      <c r="E152">
        <v>73</v>
      </c>
      <c r="F152">
        <v>1.6</v>
      </c>
      <c r="G152" t="str">
        <f t="shared" si="4"/>
        <v>Normal</v>
      </c>
      <c r="H152" s="4">
        <f t="shared" si="5"/>
        <v>0.88888888888888895</v>
      </c>
    </row>
    <row r="153" spans="1:8" x14ac:dyDescent="0.25">
      <c r="A153">
        <v>152</v>
      </c>
      <c r="B153">
        <v>13</v>
      </c>
      <c r="C153">
        <v>4.3</v>
      </c>
      <c r="D153">
        <v>3.9</v>
      </c>
      <c r="E153">
        <v>81.7</v>
      </c>
      <c r="F153">
        <v>1.5</v>
      </c>
      <c r="G153" t="str">
        <f t="shared" si="4"/>
        <v>Normal</v>
      </c>
      <c r="H153" s="4">
        <f t="shared" si="5"/>
        <v>1.1025641025641026</v>
      </c>
    </row>
    <row r="154" spans="1:8" x14ac:dyDescent="0.25">
      <c r="A154">
        <v>153</v>
      </c>
      <c r="B154">
        <v>13</v>
      </c>
      <c r="C154">
        <v>2.7</v>
      </c>
      <c r="D154">
        <v>6.5</v>
      </c>
      <c r="E154">
        <v>80.400000000000006</v>
      </c>
      <c r="F154">
        <v>1.4</v>
      </c>
      <c r="G154" t="str">
        <f t="shared" si="4"/>
        <v>High</v>
      </c>
      <c r="H154" s="4">
        <f t="shared" si="5"/>
        <v>0.41538461538461541</v>
      </c>
    </row>
    <row r="155" spans="1:8" x14ac:dyDescent="0.25">
      <c r="A155">
        <v>154</v>
      </c>
      <c r="B155">
        <v>13</v>
      </c>
      <c r="C155">
        <v>2.2000000000000002</v>
      </c>
      <c r="D155">
        <v>7.6</v>
      </c>
      <c r="E155">
        <v>60</v>
      </c>
      <c r="F155">
        <v>2.2999999999999998</v>
      </c>
      <c r="G155" t="str">
        <f t="shared" si="4"/>
        <v>High</v>
      </c>
      <c r="H155" s="4">
        <f t="shared" si="5"/>
        <v>0.28947368421052633</v>
      </c>
    </row>
    <row r="156" spans="1:8" x14ac:dyDescent="0.25">
      <c r="A156">
        <v>155</v>
      </c>
      <c r="B156">
        <v>15</v>
      </c>
      <c r="C156">
        <v>2.9</v>
      </c>
      <c r="D156">
        <v>5.2</v>
      </c>
      <c r="E156">
        <v>94.3</v>
      </c>
      <c r="F156">
        <v>2.6</v>
      </c>
      <c r="G156" t="str">
        <f t="shared" si="4"/>
        <v>High</v>
      </c>
      <c r="H156" s="4">
        <f t="shared" si="5"/>
        <v>0.55769230769230771</v>
      </c>
    </row>
    <row r="157" spans="1:8" x14ac:dyDescent="0.25">
      <c r="A157">
        <v>156</v>
      </c>
      <c r="B157">
        <v>13</v>
      </c>
      <c r="C157">
        <v>3.6</v>
      </c>
      <c r="D157">
        <v>3.6</v>
      </c>
      <c r="E157">
        <v>89.5</v>
      </c>
      <c r="F157">
        <v>2</v>
      </c>
      <c r="G157" t="str">
        <f t="shared" si="4"/>
        <v>Normal</v>
      </c>
      <c r="H157" s="4">
        <f t="shared" si="5"/>
        <v>1</v>
      </c>
    </row>
    <row r="158" spans="1:8" x14ac:dyDescent="0.25">
      <c r="A158">
        <v>157</v>
      </c>
      <c r="B158">
        <v>16</v>
      </c>
      <c r="C158">
        <v>3</v>
      </c>
      <c r="D158">
        <v>3.4</v>
      </c>
      <c r="E158">
        <v>64.400000000000006</v>
      </c>
      <c r="F158">
        <v>1.4</v>
      </c>
      <c r="G158" t="str">
        <f t="shared" si="4"/>
        <v>Normal</v>
      </c>
      <c r="H158" s="4">
        <f t="shared" si="5"/>
        <v>0.88235294117647056</v>
      </c>
    </row>
    <row r="159" spans="1:8" x14ac:dyDescent="0.25">
      <c r="A159">
        <v>158</v>
      </c>
      <c r="B159">
        <v>17</v>
      </c>
      <c r="C159">
        <v>3.6</v>
      </c>
      <c r="D159">
        <v>2.8</v>
      </c>
      <c r="E159">
        <v>34.299999999999997</v>
      </c>
      <c r="F159">
        <v>2.4</v>
      </c>
      <c r="G159" t="str">
        <f t="shared" si="4"/>
        <v>Normal</v>
      </c>
      <c r="H159" s="4">
        <f t="shared" si="5"/>
        <v>1.2857142857142858</v>
      </c>
    </row>
    <row r="160" spans="1:8" x14ac:dyDescent="0.25">
      <c r="A160">
        <v>159</v>
      </c>
      <c r="B160">
        <v>13</v>
      </c>
      <c r="C160">
        <v>1.8</v>
      </c>
      <c r="D160">
        <v>3.1</v>
      </c>
      <c r="E160">
        <v>66.400000000000006</v>
      </c>
      <c r="F160">
        <v>0.3</v>
      </c>
      <c r="G160" t="str">
        <f t="shared" si="4"/>
        <v>Normal</v>
      </c>
      <c r="H160" s="4">
        <f t="shared" si="5"/>
        <v>0.58064516129032262</v>
      </c>
    </row>
    <row r="161" spans="1:8" x14ac:dyDescent="0.25">
      <c r="A161">
        <v>160</v>
      </c>
      <c r="B161">
        <v>15</v>
      </c>
      <c r="C161">
        <v>1.6</v>
      </c>
      <c r="D161">
        <v>3.6</v>
      </c>
      <c r="E161">
        <v>72.400000000000006</v>
      </c>
      <c r="F161">
        <v>0.9</v>
      </c>
      <c r="G161" t="str">
        <f t="shared" si="4"/>
        <v>Normal</v>
      </c>
      <c r="H161" s="4">
        <f t="shared" si="5"/>
        <v>0.44444444444444448</v>
      </c>
    </row>
    <row r="162" spans="1:8" x14ac:dyDescent="0.25">
      <c r="A162">
        <v>161</v>
      </c>
      <c r="B162">
        <v>15</v>
      </c>
      <c r="C162">
        <v>2</v>
      </c>
      <c r="D162">
        <v>6.9</v>
      </c>
      <c r="E162">
        <v>64.3</v>
      </c>
      <c r="F162">
        <v>1</v>
      </c>
      <c r="G162" t="str">
        <f t="shared" si="4"/>
        <v>High</v>
      </c>
      <c r="H162" s="4">
        <f t="shared" si="5"/>
        <v>0.28985507246376813</v>
      </c>
    </row>
    <row r="163" spans="1:8" x14ac:dyDescent="0.25">
      <c r="A163">
        <v>162</v>
      </c>
      <c r="B163">
        <v>13</v>
      </c>
      <c r="C163">
        <v>1.2</v>
      </c>
      <c r="D163">
        <v>3.7</v>
      </c>
      <c r="E163">
        <v>67.8</v>
      </c>
      <c r="F163">
        <v>1.5</v>
      </c>
      <c r="G163" t="str">
        <f t="shared" si="4"/>
        <v>Normal</v>
      </c>
      <c r="H163" s="4">
        <f t="shared" si="5"/>
        <v>0.32432432432432429</v>
      </c>
    </row>
    <row r="164" spans="1:8" x14ac:dyDescent="0.25">
      <c r="A164">
        <v>163</v>
      </c>
      <c r="B164">
        <v>17</v>
      </c>
      <c r="C164">
        <v>2.6</v>
      </c>
      <c r="D164">
        <v>2.2000000000000002</v>
      </c>
      <c r="E164">
        <v>61.7</v>
      </c>
      <c r="F164">
        <v>1.9</v>
      </c>
      <c r="G164" t="str">
        <f t="shared" si="4"/>
        <v>Normal</v>
      </c>
      <c r="H164" s="4">
        <f t="shared" si="5"/>
        <v>1.1818181818181817</v>
      </c>
    </row>
    <row r="165" spans="1:8" x14ac:dyDescent="0.25">
      <c r="A165">
        <v>164</v>
      </c>
      <c r="B165">
        <v>13</v>
      </c>
      <c r="C165">
        <v>2.1</v>
      </c>
      <c r="D165">
        <v>4.0999999999999996</v>
      </c>
      <c r="E165">
        <v>79.2</v>
      </c>
      <c r="F165">
        <v>1.3</v>
      </c>
      <c r="G165" t="str">
        <f t="shared" si="4"/>
        <v>High</v>
      </c>
      <c r="H165" s="4">
        <f t="shared" si="5"/>
        <v>0.51219512195121952</v>
      </c>
    </row>
    <row r="166" spans="1:8" x14ac:dyDescent="0.25">
      <c r="A166">
        <v>165</v>
      </c>
      <c r="B166">
        <v>15</v>
      </c>
      <c r="C166">
        <v>3.7</v>
      </c>
      <c r="D166">
        <v>4.3</v>
      </c>
      <c r="E166">
        <v>70.599999999999994</v>
      </c>
      <c r="F166">
        <v>0.8</v>
      </c>
      <c r="G166" t="str">
        <f t="shared" si="4"/>
        <v>High</v>
      </c>
      <c r="H166" s="4">
        <f t="shared" si="5"/>
        <v>0.86046511627906985</v>
      </c>
    </row>
    <row r="167" spans="1:8" x14ac:dyDescent="0.25">
      <c r="A167">
        <v>166</v>
      </c>
      <c r="B167">
        <v>14</v>
      </c>
      <c r="C167">
        <v>1.2</v>
      </c>
      <c r="D167">
        <v>4.0999999999999996</v>
      </c>
      <c r="E167">
        <v>79.5</v>
      </c>
      <c r="F167">
        <v>2.2999999999999998</v>
      </c>
      <c r="G167" t="str">
        <f t="shared" si="4"/>
        <v>High</v>
      </c>
      <c r="H167" s="4">
        <f t="shared" si="5"/>
        <v>0.29268292682926833</v>
      </c>
    </row>
    <row r="168" spans="1:8" x14ac:dyDescent="0.25">
      <c r="A168">
        <v>167</v>
      </c>
      <c r="B168">
        <v>16</v>
      </c>
      <c r="C168">
        <v>4.0999999999999996</v>
      </c>
      <c r="D168">
        <v>5.2</v>
      </c>
      <c r="E168">
        <v>82.2</v>
      </c>
      <c r="F168">
        <v>1.3</v>
      </c>
      <c r="G168" t="str">
        <f t="shared" si="4"/>
        <v>High</v>
      </c>
      <c r="H168" s="4">
        <f t="shared" si="5"/>
        <v>0.78846153846153832</v>
      </c>
    </row>
    <row r="169" spans="1:8" x14ac:dyDescent="0.25">
      <c r="A169">
        <v>168</v>
      </c>
      <c r="B169">
        <v>15</v>
      </c>
      <c r="C169">
        <v>1.5</v>
      </c>
      <c r="D169">
        <v>4.0999999999999996</v>
      </c>
      <c r="E169">
        <v>48.3</v>
      </c>
      <c r="F169">
        <v>1.6</v>
      </c>
      <c r="G169" t="str">
        <f t="shared" si="4"/>
        <v>High</v>
      </c>
      <c r="H169" s="4">
        <f t="shared" si="5"/>
        <v>0.36585365853658541</v>
      </c>
    </row>
    <row r="170" spans="1:8" x14ac:dyDescent="0.25">
      <c r="A170">
        <v>169</v>
      </c>
      <c r="B170">
        <v>13</v>
      </c>
      <c r="C170">
        <v>1.3</v>
      </c>
      <c r="D170">
        <v>5.2</v>
      </c>
      <c r="E170">
        <v>62.3</v>
      </c>
      <c r="F170">
        <v>1.9</v>
      </c>
      <c r="G170" t="str">
        <f t="shared" si="4"/>
        <v>High</v>
      </c>
      <c r="H170" s="4">
        <f t="shared" si="5"/>
        <v>0.25</v>
      </c>
    </row>
    <row r="171" spans="1:8" x14ac:dyDescent="0.25">
      <c r="A171">
        <v>170</v>
      </c>
      <c r="B171">
        <v>16</v>
      </c>
      <c r="C171">
        <v>1.7</v>
      </c>
      <c r="D171">
        <v>2.8</v>
      </c>
      <c r="E171">
        <v>63.8</v>
      </c>
      <c r="F171">
        <v>1.5</v>
      </c>
      <c r="G171" t="str">
        <f t="shared" si="4"/>
        <v>Normal</v>
      </c>
      <c r="H171" s="4">
        <f t="shared" si="5"/>
        <v>0.60714285714285721</v>
      </c>
    </row>
    <row r="172" spans="1:8" x14ac:dyDescent="0.25">
      <c r="A172">
        <v>171</v>
      </c>
      <c r="B172">
        <v>13</v>
      </c>
      <c r="C172">
        <v>4.5</v>
      </c>
      <c r="D172">
        <v>0</v>
      </c>
      <c r="E172">
        <v>95.7</v>
      </c>
      <c r="F172">
        <v>1.5</v>
      </c>
      <c r="G172" t="str">
        <f t="shared" si="4"/>
        <v>Normal</v>
      </c>
      <c r="H172" s="4">
        <f t="shared" si="5"/>
        <v>0</v>
      </c>
    </row>
    <row r="173" spans="1:8" x14ac:dyDescent="0.25">
      <c r="A173">
        <v>172</v>
      </c>
      <c r="B173">
        <v>13</v>
      </c>
      <c r="C173">
        <v>2.5</v>
      </c>
      <c r="D173">
        <v>4.4000000000000004</v>
      </c>
      <c r="E173">
        <v>71.5</v>
      </c>
      <c r="F173">
        <v>2.2999999999999998</v>
      </c>
      <c r="G173" t="str">
        <f t="shared" si="4"/>
        <v>High</v>
      </c>
      <c r="H173" s="4">
        <f t="shared" si="5"/>
        <v>0.56818181818181812</v>
      </c>
    </row>
    <row r="174" spans="1:8" x14ac:dyDescent="0.25">
      <c r="A174">
        <v>173</v>
      </c>
      <c r="B174">
        <v>14</v>
      </c>
      <c r="C174">
        <v>3</v>
      </c>
      <c r="D174">
        <v>4.5999999999999996</v>
      </c>
      <c r="E174">
        <v>0</v>
      </c>
      <c r="F174">
        <v>1.6</v>
      </c>
      <c r="G174" t="str">
        <f t="shared" si="4"/>
        <v>High</v>
      </c>
      <c r="H174" s="4">
        <f t="shared" si="5"/>
        <v>0.65217391304347827</v>
      </c>
    </row>
    <row r="175" spans="1:8" x14ac:dyDescent="0.25">
      <c r="A175">
        <v>174</v>
      </c>
      <c r="B175">
        <v>16</v>
      </c>
      <c r="C175">
        <v>2.2999999999999998</v>
      </c>
      <c r="D175">
        <v>2.8</v>
      </c>
      <c r="E175">
        <v>51.2</v>
      </c>
      <c r="F175">
        <v>2.2000000000000002</v>
      </c>
      <c r="G175" t="str">
        <f t="shared" si="4"/>
        <v>Normal</v>
      </c>
      <c r="H175" s="4">
        <f t="shared" si="5"/>
        <v>0.8214285714285714</v>
      </c>
    </row>
    <row r="176" spans="1:8" x14ac:dyDescent="0.25">
      <c r="A176">
        <v>175</v>
      </c>
      <c r="B176">
        <v>16</v>
      </c>
      <c r="C176">
        <v>2.4</v>
      </c>
      <c r="D176">
        <v>4.7</v>
      </c>
      <c r="E176">
        <v>71.400000000000006</v>
      </c>
      <c r="F176">
        <v>1.9</v>
      </c>
      <c r="G176" t="str">
        <f t="shared" si="4"/>
        <v>High</v>
      </c>
      <c r="H176" s="4">
        <f t="shared" si="5"/>
        <v>0.51063829787234039</v>
      </c>
    </row>
    <row r="177" spans="1:8" x14ac:dyDescent="0.25">
      <c r="A177">
        <v>176</v>
      </c>
      <c r="B177">
        <v>14</v>
      </c>
      <c r="C177">
        <v>2</v>
      </c>
      <c r="D177">
        <v>5</v>
      </c>
      <c r="E177">
        <v>79.8</v>
      </c>
      <c r="F177">
        <v>3.1</v>
      </c>
      <c r="G177" t="str">
        <f t="shared" si="4"/>
        <v>High</v>
      </c>
      <c r="H177" s="4">
        <f t="shared" si="5"/>
        <v>0.4</v>
      </c>
    </row>
    <row r="178" spans="1:8" x14ac:dyDescent="0.25">
      <c r="A178">
        <v>177</v>
      </c>
      <c r="B178">
        <v>15</v>
      </c>
      <c r="C178">
        <v>2.6</v>
      </c>
      <c r="D178">
        <v>2.2000000000000002</v>
      </c>
      <c r="E178">
        <v>78.599999999999994</v>
      </c>
      <c r="F178">
        <v>1.8</v>
      </c>
      <c r="G178" t="str">
        <f t="shared" si="4"/>
        <v>Normal</v>
      </c>
      <c r="H178" s="4">
        <f t="shared" si="5"/>
        <v>1.1818181818181817</v>
      </c>
    </row>
    <row r="179" spans="1:8" x14ac:dyDescent="0.25">
      <c r="A179">
        <v>178</v>
      </c>
      <c r="B179">
        <v>13</v>
      </c>
      <c r="C179">
        <v>3</v>
      </c>
      <c r="D179">
        <v>1.5</v>
      </c>
      <c r="E179">
        <v>76.2</v>
      </c>
      <c r="F179">
        <v>2</v>
      </c>
      <c r="G179" t="str">
        <f t="shared" si="4"/>
        <v>Normal</v>
      </c>
      <c r="H179" s="4">
        <f t="shared" si="5"/>
        <v>2</v>
      </c>
    </row>
    <row r="180" spans="1:8" x14ac:dyDescent="0.25">
      <c r="A180">
        <v>179</v>
      </c>
      <c r="B180">
        <v>17</v>
      </c>
      <c r="C180">
        <v>4.2</v>
      </c>
      <c r="D180">
        <v>4.4000000000000004</v>
      </c>
      <c r="E180">
        <v>70.099999999999994</v>
      </c>
      <c r="F180">
        <v>2.4</v>
      </c>
      <c r="G180" t="str">
        <f t="shared" si="4"/>
        <v>High</v>
      </c>
      <c r="H180" s="4">
        <f t="shared" si="5"/>
        <v>0.95454545454545447</v>
      </c>
    </row>
    <row r="181" spans="1:8" x14ac:dyDescent="0.25">
      <c r="A181">
        <v>180</v>
      </c>
      <c r="B181">
        <v>13</v>
      </c>
      <c r="C181">
        <v>0.6</v>
      </c>
      <c r="D181">
        <v>3.3</v>
      </c>
      <c r="E181">
        <v>70.599999999999994</v>
      </c>
      <c r="F181">
        <v>1.6</v>
      </c>
      <c r="G181" t="str">
        <f t="shared" si="4"/>
        <v>Normal</v>
      </c>
      <c r="H181" s="4">
        <f t="shared" si="5"/>
        <v>0.18181818181818182</v>
      </c>
    </row>
    <row r="182" spans="1:8" x14ac:dyDescent="0.25">
      <c r="A182">
        <v>181</v>
      </c>
      <c r="B182">
        <v>13</v>
      </c>
      <c r="C182">
        <v>4.0999999999999996</v>
      </c>
      <c r="D182">
        <v>4.4000000000000004</v>
      </c>
      <c r="E182">
        <v>53.1</v>
      </c>
      <c r="F182">
        <v>1</v>
      </c>
      <c r="G182" t="str">
        <f t="shared" si="4"/>
        <v>High</v>
      </c>
      <c r="H182" s="4">
        <f t="shared" si="5"/>
        <v>0.93181818181818166</v>
      </c>
    </row>
    <row r="183" spans="1:8" x14ac:dyDescent="0.25">
      <c r="A183">
        <v>182</v>
      </c>
      <c r="B183">
        <v>15</v>
      </c>
      <c r="C183">
        <v>3</v>
      </c>
      <c r="D183">
        <v>2.1</v>
      </c>
      <c r="E183">
        <v>61</v>
      </c>
      <c r="F183">
        <v>1.1000000000000001</v>
      </c>
      <c r="G183" t="str">
        <f t="shared" si="4"/>
        <v>Normal</v>
      </c>
      <c r="H183" s="4">
        <f t="shared" si="5"/>
        <v>1.4285714285714286</v>
      </c>
    </row>
    <row r="184" spans="1:8" x14ac:dyDescent="0.25">
      <c r="A184">
        <v>183</v>
      </c>
      <c r="B184">
        <v>13</v>
      </c>
      <c r="C184">
        <v>2.1</v>
      </c>
      <c r="D184">
        <v>1.7</v>
      </c>
      <c r="E184">
        <v>72.3</v>
      </c>
      <c r="F184">
        <v>1.1000000000000001</v>
      </c>
      <c r="G184" t="str">
        <f t="shared" si="4"/>
        <v>Normal</v>
      </c>
      <c r="H184" s="4">
        <f t="shared" si="5"/>
        <v>1.2352941176470589</v>
      </c>
    </row>
    <row r="185" spans="1:8" x14ac:dyDescent="0.25">
      <c r="A185">
        <v>184</v>
      </c>
      <c r="B185">
        <v>14</v>
      </c>
      <c r="C185">
        <v>2</v>
      </c>
      <c r="D185">
        <v>4.3</v>
      </c>
      <c r="E185">
        <v>62.8</v>
      </c>
      <c r="F185">
        <v>0.7</v>
      </c>
      <c r="G185" t="str">
        <f t="shared" si="4"/>
        <v>High</v>
      </c>
      <c r="H185" s="4">
        <f t="shared" si="5"/>
        <v>0.46511627906976744</v>
      </c>
    </row>
    <row r="186" spans="1:8" x14ac:dyDescent="0.25">
      <c r="A186">
        <v>185</v>
      </c>
      <c r="B186">
        <v>14</v>
      </c>
      <c r="C186">
        <v>3.5</v>
      </c>
      <c r="D186">
        <v>3.5</v>
      </c>
      <c r="E186">
        <v>76.900000000000006</v>
      </c>
      <c r="F186">
        <v>1.8</v>
      </c>
      <c r="G186" t="str">
        <f t="shared" si="4"/>
        <v>Normal</v>
      </c>
      <c r="H186" s="4">
        <f t="shared" si="5"/>
        <v>1</v>
      </c>
    </row>
    <row r="187" spans="1:8" x14ac:dyDescent="0.25">
      <c r="A187">
        <v>186</v>
      </c>
      <c r="B187">
        <v>16</v>
      </c>
      <c r="C187">
        <v>2.7</v>
      </c>
      <c r="D187">
        <v>0</v>
      </c>
      <c r="E187">
        <v>74.7</v>
      </c>
      <c r="F187">
        <v>1</v>
      </c>
      <c r="G187" t="str">
        <f t="shared" si="4"/>
        <v>Normal</v>
      </c>
      <c r="H187" s="4">
        <f t="shared" si="5"/>
        <v>0</v>
      </c>
    </row>
    <row r="188" spans="1:8" x14ac:dyDescent="0.25">
      <c r="A188">
        <v>187</v>
      </c>
      <c r="B188">
        <v>17</v>
      </c>
      <c r="C188">
        <v>1</v>
      </c>
      <c r="D188">
        <v>6</v>
      </c>
      <c r="E188">
        <v>83.7</v>
      </c>
      <c r="F188">
        <v>1.7</v>
      </c>
      <c r="G188" t="str">
        <f t="shared" si="4"/>
        <v>High</v>
      </c>
      <c r="H188" s="4">
        <f t="shared" si="5"/>
        <v>0.16666666666666666</v>
      </c>
    </row>
    <row r="189" spans="1:8" x14ac:dyDescent="0.25">
      <c r="A189">
        <v>188</v>
      </c>
      <c r="B189">
        <v>13</v>
      </c>
      <c r="C189">
        <v>2.9</v>
      </c>
      <c r="D189">
        <v>2</v>
      </c>
      <c r="E189">
        <v>79.599999999999994</v>
      </c>
      <c r="F189">
        <v>1.4</v>
      </c>
      <c r="G189" t="str">
        <f t="shared" si="4"/>
        <v>Normal</v>
      </c>
      <c r="H189" s="4">
        <f t="shared" si="5"/>
        <v>1.45</v>
      </c>
    </row>
    <row r="190" spans="1:8" x14ac:dyDescent="0.25">
      <c r="A190">
        <v>189</v>
      </c>
      <c r="B190">
        <v>13</v>
      </c>
      <c r="C190">
        <v>3.6</v>
      </c>
      <c r="D190">
        <v>7.9</v>
      </c>
      <c r="E190">
        <v>72.3</v>
      </c>
      <c r="F190">
        <v>1.5</v>
      </c>
      <c r="G190" t="str">
        <f t="shared" si="4"/>
        <v>High</v>
      </c>
      <c r="H190" s="4">
        <f t="shared" si="5"/>
        <v>0.45569620253164556</v>
      </c>
    </row>
    <row r="191" spans="1:8" x14ac:dyDescent="0.25">
      <c r="A191">
        <v>190</v>
      </c>
      <c r="B191">
        <v>15</v>
      </c>
      <c r="C191">
        <v>3.4</v>
      </c>
      <c r="D191">
        <v>3.1</v>
      </c>
      <c r="E191">
        <v>77.5</v>
      </c>
      <c r="F191">
        <v>1.9</v>
      </c>
      <c r="G191" t="str">
        <f t="shared" si="4"/>
        <v>Normal</v>
      </c>
      <c r="H191" s="4">
        <f t="shared" si="5"/>
        <v>1.096774193548387</v>
      </c>
    </row>
    <row r="192" spans="1:8" x14ac:dyDescent="0.25">
      <c r="A192">
        <v>191</v>
      </c>
      <c r="B192">
        <v>14</v>
      </c>
      <c r="C192">
        <v>1.9</v>
      </c>
      <c r="D192">
        <v>4.5999999999999996</v>
      </c>
      <c r="E192">
        <v>80.099999999999994</v>
      </c>
      <c r="F192">
        <v>1.1000000000000001</v>
      </c>
      <c r="G192" t="str">
        <f t="shared" si="4"/>
        <v>High</v>
      </c>
      <c r="H192" s="4">
        <f t="shared" si="5"/>
        <v>0.41304347826086957</v>
      </c>
    </row>
    <row r="193" spans="1:8" x14ac:dyDescent="0.25">
      <c r="A193">
        <v>192</v>
      </c>
      <c r="B193">
        <v>17</v>
      </c>
      <c r="C193">
        <v>1.2</v>
      </c>
      <c r="D193">
        <v>6.5</v>
      </c>
      <c r="E193">
        <v>64.900000000000006</v>
      </c>
      <c r="F193">
        <v>2</v>
      </c>
      <c r="G193" t="str">
        <f t="shared" si="4"/>
        <v>High</v>
      </c>
      <c r="H193" s="4">
        <f t="shared" si="5"/>
        <v>0.1846153846153846</v>
      </c>
    </row>
    <row r="194" spans="1:8" x14ac:dyDescent="0.25">
      <c r="A194">
        <v>193</v>
      </c>
      <c r="B194">
        <v>16</v>
      </c>
      <c r="C194">
        <v>2.2000000000000002</v>
      </c>
      <c r="D194">
        <v>6.2</v>
      </c>
      <c r="E194">
        <v>66.7</v>
      </c>
      <c r="F194">
        <v>2.8</v>
      </c>
      <c r="G194" t="str">
        <f t="shared" ref="G194:G206" si="6">IF(D194&gt;4,"High","Normal")</f>
        <v>High</v>
      </c>
      <c r="H194" s="4">
        <f t="shared" ref="H194:H206" si="7">IFERROR(C194/D194,0)</f>
        <v>0.35483870967741937</v>
      </c>
    </row>
    <row r="195" spans="1:8" x14ac:dyDescent="0.25">
      <c r="A195">
        <v>194</v>
      </c>
      <c r="B195">
        <v>14</v>
      </c>
      <c r="C195">
        <v>5.8</v>
      </c>
      <c r="D195">
        <v>7</v>
      </c>
      <c r="E195">
        <v>69</v>
      </c>
      <c r="F195">
        <v>1.8</v>
      </c>
      <c r="G195" t="str">
        <f t="shared" si="6"/>
        <v>High</v>
      </c>
      <c r="H195" s="4">
        <f t="shared" si="7"/>
        <v>0.82857142857142851</v>
      </c>
    </row>
    <row r="196" spans="1:8" x14ac:dyDescent="0.25">
      <c r="A196">
        <v>195</v>
      </c>
      <c r="B196">
        <v>16</v>
      </c>
      <c r="C196">
        <v>1</v>
      </c>
      <c r="D196">
        <v>1.7</v>
      </c>
      <c r="E196">
        <v>65.2</v>
      </c>
      <c r="F196">
        <v>0.9</v>
      </c>
      <c r="G196" t="str">
        <f t="shared" si="6"/>
        <v>Normal</v>
      </c>
      <c r="H196" s="4">
        <f t="shared" si="7"/>
        <v>0.58823529411764708</v>
      </c>
    </row>
    <row r="197" spans="1:8" x14ac:dyDescent="0.25">
      <c r="A197">
        <v>196</v>
      </c>
      <c r="B197">
        <v>15</v>
      </c>
      <c r="C197">
        <v>1.7</v>
      </c>
      <c r="D197">
        <v>2.2999999999999998</v>
      </c>
      <c r="E197">
        <v>80.2</v>
      </c>
      <c r="F197">
        <v>1</v>
      </c>
      <c r="G197" t="str">
        <f t="shared" si="6"/>
        <v>Normal</v>
      </c>
      <c r="H197" s="4">
        <f t="shared" si="7"/>
        <v>0.73913043478260876</v>
      </c>
    </row>
    <row r="198" spans="1:8" x14ac:dyDescent="0.25">
      <c r="A198">
        <v>197</v>
      </c>
      <c r="B198">
        <v>15</v>
      </c>
      <c r="C198">
        <v>2.9</v>
      </c>
      <c r="D198">
        <v>4.3</v>
      </c>
      <c r="E198">
        <v>63.7</v>
      </c>
      <c r="F198">
        <v>1.3</v>
      </c>
      <c r="G198" t="str">
        <f t="shared" si="6"/>
        <v>High</v>
      </c>
      <c r="H198" s="4">
        <f t="shared" si="7"/>
        <v>0.67441860465116277</v>
      </c>
    </row>
    <row r="199" spans="1:8" x14ac:dyDescent="0.25">
      <c r="A199">
        <v>198</v>
      </c>
      <c r="B199">
        <v>13</v>
      </c>
      <c r="C199">
        <v>2.4</v>
      </c>
      <c r="D199">
        <v>5.3</v>
      </c>
      <c r="E199">
        <v>82.5</v>
      </c>
      <c r="F199">
        <v>1</v>
      </c>
      <c r="G199" t="str">
        <f t="shared" si="6"/>
        <v>High</v>
      </c>
      <c r="H199" s="4">
        <f t="shared" si="7"/>
        <v>0.45283018867924529</v>
      </c>
    </row>
    <row r="200" spans="1:8" x14ac:dyDescent="0.25">
      <c r="A200">
        <v>199</v>
      </c>
      <c r="B200">
        <v>17</v>
      </c>
      <c r="C200">
        <v>2.2999999999999998</v>
      </c>
      <c r="D200">
        <v>4</v>
      </c>
      <c r="E200">
        <v>66.3</v>
      </c>
      <c r="F200">
        <v>0.7</v>
      </c>
      <c r="G200" t="str">
        <f t="shared" si="6"/>
        <v>Normal</v>
      </c>
      <c r="H200" s="4">
        <f t="shared" si="7"/>
        <v>0.57499999999999996</v>
      </c>
    </row>
    <row r="201" spans="1:8" x14ac:dyDescent="0.25">
      <c r="A201">
        <v>200</v>
      </c>
      <c r="B201">
        <v>16</v>
      </c>
      <c r="C201">
        <v>4.5</v>
      </c>
      <c r="D201">
        <v>1.5</v>
      </c>
      <c r="E201">
        <v>74.7</v>
      </c>
      <c r="F201">
        <v>1.6</v>
      </c>
      <c r="G201" t="str">
        <f t="shared" si="6"/>
        <v>Normal</v>
      </c>
      <c r="H201" s="4">
        <f t="shared" si="7"/>
        <v>3</v>
      </c>
    </row>
    <row r="202" spans="1:8" x14ac:dyDescent="0.25">
      <c r="A202">
        <v>132</v>
      </c>
      <c r="B202">
        <v>17</v>
      </c>
      <c r="C202">
        <v>4.4000000000000004</v>
      </c>
      <c r="D202">
        <v>5.8</v>
      </c>
      <c r="E202">
        <v>79.099999999999994</v>
      </c>
      <c r="F202">
        <v>1.5</v>
      </c>
      <c r="G202" t="str">
        <f t="shared" si="6"/>
        <v>High</v>
      </c>
      <c r="H202" s="4">
        <f t="shared" si="7"/>
        <v>0.75862068965517249</v>
      </c>
    </row>
    <row r="203" spans="1:8" x14ac:dyDescent="0.25">
      <c r="A203">
        <v>46</v>
      </c>
      <c r="B203">
        <v>13</v>
      </c>
      <c r="C203">
        <v>1.8</v>
      </c>
      <c r="D203">
        <v>4.9000000000000004</v>
      </c>
      <c r="E203">
        <v>74.599999999999994</v>
      </c>
      <c r="F203">
        <v>1.6</v>
      </c>
      <c r="G203" t="str">
        <f t="shared" si="6"/>
        <v>High</v>
      </c>
      <c r="H203" s="4">
        <f t="shared" si="7"/>
        <v>0.36734693877551017</v>
      </c>
    </row>
    <row r="204" spans="1:8" x14ac:dyDescent="0.25">
      <c r="A204">
        <v>129</v>
      </c>
      <c r="B204">
        <v>17</v>
      </c>
      <c r="C204">
        <v>2.8</v>
      </c>
      <c r="D204">
        <v>4.7</v>
      </c>
      <c r="E204">
        <v>58.1</v>
      </c>
      <c r="F204">
        <v>1</v>
      </c>
      <c r="G204" t="str">
        <f t="shared" si="6"/>
        <v>High</v>
      </c>
      <c r="H204" s="4">
        <f t="shared" si="7"/>
        <v>0.5957446808510638</v>
      </c>
    </row>
    <row r="205" spans="1:8" x14ac:dyDescent="0.25">
      <c r="A205">
        <v>24</v>
      </c>
      <c r="B205">
        <v>13</v>
      </c>
      <c r="C205">
        <v>3.2</v>
      </c>
      <c r="D205">
        <v>2.6</v>
      </c>
      <c r="E205">
        <v>53.2</v>
      </c>
      <c r="F205">
        <v>0</v>
      </c>
      <c r="G205" t="str">
        <f t="shared" si="6"/>
        <v>Normal</v>
      </c>
      <c r="H205" s="4">
        <f t="shared" si="7"/>
        <v>1.2307692307692308</v>
      </c>
    </row>
    <row r="206" spans="1:8" x14ac:dyDescent="0.25">
      <c r="A206">
        <v>39</v>
      </c>
      <c r="B206">
        <v>13</v>
      </c>
      <c r="C206">
        <v>2.4</v>
      </c>
      <c r="D206">
        <v>3.2</v>
      </c>
      <c r="E206">
        <v>76.7</v>
      </c>
      <c r="F206">
        <v>1.8</v>
      </c>
      <c r="G206" t="str">
        <f t="shared" si="6"/>
        <v>Normal</v>
      </c>
      <c r="H206" s="4">
        <f t="shared" si="7"/>
        <v>0.74999999999999989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F516-2A36-47E0-AA76-0102229AB892}">
  <dimension ref="A3:B6"/>
  <sheetViews>
    <sheetView workbookViewId="0">
      <selection activeCell="B3" sqref="B3"/>
      <pivotSelection pane="bottomRight" showHeader="1" extendable="1" activeRow="2" activeCol="1" previousRow="2" previousCol="1" click="1" r:id="rId1">
        <pivotArea dataOnly="0" outline="0" axis="axisValues" fieldPosition="0"/>
      </pivotSelection>
    </sheetView>
  </sheetViews>
  <sheetFormatPr defaultRowHeight="13.8" x14ac:dyDescent="0.25"/>
  <cols>
    <col min="1" max="1" width="13.5" customWidth="1"/>
    <col min="2" max="2" width="22.3984375" customWidth="1"/>
  </cols>
  <sheetData>
    <row r="3" spans="1:2" x14ac:dyDescent="0.25">
      <c r="A3" s="1" t="s">
        <v>12</v>
      </c>
      <c r="B3" t="s">
        <v>17</v>
      </c>
    </row>
    <row r="4" spans="1:2" x14ac:dyDescent="0.25">
      <c r="A4" s="2" t="s">
        <v>14</v>
      </c>
      <c r="B4" s="3">
        <v>71.03627450980396</v>
      </c>
    </row>
    <row r="5" spans="1:2" x14ac:dyDescent="0.25">
      <c r="A5" s="2" t="s">
        <v>15</v>
      </c>
      <c r="B5" s="3">
        <v>66.539805825242681</v>
      </c>
    </row>
    <row r="6" spans="1:2" x14ac:dyDescent="0.25">
      <c r="A6" s="2" t="s">
        <v>13</v>
      </c>
      <c r="B6" s="3">
        <v>68.777073170731768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5A94-0848-4A6B-B3C2-76341D7B5CA9}">
  <dimension ref="A3:B64"/>
  <sheetViews>
    <sheetView workbookViewId="0">
      <selection activeCell="B3" sqref="B3"/>
    </sheetView>
  </sheetViews>
  <sheetFormatPr defaultRowHeight="13.8" x14ac:dyDescent="0.25"/>
  <cols>
    <col min="1" max="1" width="12.5" customWidth="1"/>
    <col min="2" max="2" width="29" customWidth="1"/>
  </cols>
  <sheetData>
    <row r="3" spans="1:2" x14ac:dyDescent="0.25">
      <c r="A3" s="1" t="s">
        <v>12</v>
      </c>
      <c r="B3" t="s">
        <v>16</v>
      </c>
    </row>
    <row r="4" spans="1:2" x14ac:dyDescent="0.25">
      <c r="A4" s="2">
        <v>0</v>
      </c>
      <c r="B4" s="3">
        <v>1.3285714285714287</v>
      </c>
    </row>
    <row r="5" spans="1:2" x14ac:dyDescent="0.25">
      <c r="A5" s="2">
        <v>0.2</v>
      </c>
      <c r="B5" s="3">
        <v>1.7</v>
      </c>
    </row>
    <row r="6" spans="1:2" x14ac:dyDescent="0.25">
      <c r="A6" s="2">
        <v>0.5</v>
      </c>
      <c r="B6" s="3">
        <v>1.1000000000000001</v>
      </c>
    </row>
    <row r="7" spans="1:2" x14ac:dyDescent="0.25">
      <c r="A7" s="2">
        <v>0.9</v>
      </c>
      <c r="B7" s="3">
        <v>1.5</v>
      </c>
    </row>
    <row r="8" spans="1:2" x14ac:dyDescent="0.25">
      <c r="A8" s="2">
        <v>1</v>
      </c>
      <c r="B8" s="3">
        <v>0</v>
      </c>
    </row>
    <row r="9" spans="1:2" x14ac:dyDescent="0.25">
      <c r="A9" s="2">
        <v>1.2</v>
      </c>
      <c r="B9" s="3">
        <v>1.35</v>
      </c>
    </row>
    <row r="10" spans="1:2" x14ac:dyDescent="0.25">
      <c r="A10" s="2">
        <v>1.5</v>
      </c>
      <c r="B10" s="3">
        <v>1.8</v>
      </c>
    </row>
    <row r="11" spans="1:2" x14ac:dyDescent="0.25">
      <c r="A11" s="2">
        <v>1.6</v>
      </c>
      <c r="B11" s="3">
        <v>1.6</v>
      </c>
    </row>
    <row r="12" spans="1:2" x14ac:dyDescent="0.25">
      <c r="A12" s="2">
        <v>1.7</v>
      </c>
      <c r="B12" s="3">
        <v>1.5500000000000003</v>
      </c>
    </row>
    <row r="13" spans="1:2" x14ac:dyDescent="0.25">
      <c r="A13" s="2">
        <v>1.8</v>
      </c>
      <c r="B13" s="3">
        <v>0.89999999999999991</v>
      </c>
    </row>
    <row r="14" spans="1:2" x14ac:dyDescent="0.25">
      <c r="A14" s="2">
        <v>1.9</v>
      </c>
      <c r="B14" s="3">
        <v>1.8</v>
      </c>
    </row>
    <row r="15" spans="1:2" x14ac:dyDescent="0.25">
      <c r="A15" s="2">
        <v>2</v>
      </c>
      <c r="B15" s="3">
        <v>1.5</v>
      </c>
    </row>
    <row r="16" spans="1:2" x14ac:dyDescent="0.25">
      <c r="A16" s="2">
        <v>2.1</v>
      </c>
      <c r="B16" s="3">
        <v>1.1000000000000001</v>
      </c>
    </row>
    <row r="17" spans="1:2" x14ac:dyDescent="0.25">
      <c r="A17" s="2">
        <v>2.2000000000000002</v>
      </c>
      <c r="B17" s="3">
        <v>1.8499999999999999</v>
      </c>
    </row>
    <row r="18" spans="1:2" x14ac:dyDescent="0.25">
      <c r="A18" s="2">
        <v>2.2999999999999998</v>
      </c>
      <c r="B18" s="3">
        <v>1.1000000000000001</v>
      </c>
    </row>
    <row r="19" spans="1:2" x14ac:dyDescent="0.25">
      <c r="A19" s="2">
        <v>2.5</v>
      </c>
      <c r="B19" s="3">
        <v>0.95</v>
      </c>
    </row>
    <row r="20" spans="1:2" x14ac:dyDescent="0.25">
      <c r="A20" s="2">
        <v>2.6</v>
      </c>
      <c r="B20" s="3">
        <v>0.35</v>
      </c>
    </row>
    <row r="21" spans="1:2" x14ac:dyDescent="0.25">
      <c r="A21" s="2">
        <v>2.7</v>
      </c>
      <c r="B21" s="3">
        <v>1.45</v>
      </c>
    </row>
    <row r="22" spans="1:2" x14ac:dyDescent="0.25">
      <c r="A22" s="2">
        <v>2.8</v>
      </c>
      <c r="B22" s="3">
        <v>1.6666666666666667</v>
      </c>
    </row>
    <row r="23" spans="1:2" x14ac:dyDescent="0.25">
      <c r="A23" s="2">
        <v>2.9</v>
      </c>
      <c r="B23" s="3">
        <v>1.1000000000000001</v>
      </c>
    </row>
    <row r="24" spans="1:2" x14ac:dyDescent="0.25">
      <c r="A24" s="2">
        <v>3</v>
      </c>
      <c r="B24" s="3">
        <v>1.8399999999999999</v>
      </c>
    </row>
    <row r="25" spans="1:2" x14ac:dyDescent="0.25">
      <c r="A25" s="2">
        <v>3.1</v>
      </c>
      <c r="B25" s="3">
        <v>1.4333333333333333</v>
      </c>
    </row>
    <row r="26" spans="1:2" x14ac:dyDescent="0.25">
      <c r="A26" s="2">
        <v>3.2</v>
      </c>
      <c r="B26" s="3">
        <v>1.1000000000000001</v>
      </c>
    </row>
    <row r="27" spans="1:2" x14ac:dyDescent="0.25">
      <c r="A27" s="2">
        <v>3.3</v>
      </c>
      <c r="B27" s="3">
        <v>1.1428571428571428</v>
      </c>
    </row>
    <row r="28" spans="1:2" x14ac:dyDescent="0.25">
      <c r="A28" s="2">
        <v>3.4</v>
      </c>
      <c r="B28" s="3">
        <v>1.4333333333333333</v>
      </c>
    </row>
    <row r="29" spans="1:2" x14ac:dyDescent="0.25">
      <c r="A29" s="2">
        <v>3.5</v>
      </c>
      <c r="B29" s="3">
        <v>2.0666666666666669</v>
      </c>
    </row>
    <row r="30" spans="1:2" x14ac:dyDescent="0.25">
      <c r="A30" s="2">
        <v>3.6</v>
      </c>
      <c r="B30" s="3">
        <v>1.8777777777777775</v>
      </c>
    </row>
    <row r="31" spans="1:2" x14ac:dyDescent="0.25">
      <c r="A31" s="2">
        <v>3.7</v>
      </c>
      <c r="B31" s="3">
        <v>1.5666666666666667</v>
      </c>
    </row>
    <row r="32" spans="1:2" x14ac:dyDescent="0.25">
      <c r="A32" s="2">
        <v>3.8</v>
      </c>
      <c r="B32" s="3">
        <v>2.2000000000000002</v>
      </c>
    </row>
    <row r="33" spans="1:2" x14ac:dyDescent="0.25">
      <c r="A33" s="2">
        <v>3.9</v>
      </c>
      <c r="B33" s="3">
        <v>2.1</v>
      </c>
    </row>
    <row r="34" spans="1:2" x14ac:dyDescent="0.25">
      <c r="A34" s="2">
        <v>4</v>
      </c>
      <c r="B34" s="3">
        <v>0.75</v>
      </c>
    </row>
    <row r="35" spans="1:2" x14ac:dyDescent="0.25">
      <c r="A35" s="2">
        <v>4.0999999999999996</v>
      </c>
      <c r="B35" s="3">
        <v>1.5857142857142856</v>
      </c>
    </row>
    <row r="36" spans="1:2" x14ac:dyDescent="0.25">
      <c r="A36" s="2">
        <v>4.2</v>
      </c>
      <c r="B36" s="3">
        <v>1.75</v>
      </c>
    </row>
    <row r="37" spans="1:2" x14ac:dyDescent="0.25">
      <c r="A37" s="2">
        <v>4.3</v>
      </c>
      <c r="B37" s="3">
        <v>1.2200000000000002</v>
      </c>
    </row>
    <row r="38" spans="1:2" x14ac:dyDescent="0.25">
      <c r="A38" s="2">
        <v>4.4000000000000004</v>
      </c>
      <c r="B38" s="3">
        <v>1.6222222222222222</v>
      </c>
    </row>
    <row r="39" spans="1:2" x14ac:dyDescent="0.25">
      <c r="A39" s="2">
        <v>4.5</v>
      </c>
      <c r="B39" s="3">
        <v>1.7000000000000002</v>
      </c>
    </row>
    <row r="40" spans="1:2" x14ac:dyDescent="0.25">
      <c r="A40" s="2">
        <v>4.5999999999999996</v>
      </c>
      <c r="B40" s="3">
        <v>1.56</v>
      </c>
    </row>
    <row r="41" spans="1:2" x14ac:dyDescent="0.25">
      <c r="A41" s="2">
        <v>4.7</v>
      </c>
      <c r="B41" s="3">
        <v>1.4000000000000001</v>
      </c>
    </row>
    <row r="42" spans="1:2" x14ac:dyDescent="0.25">
      <c r="A42" s="2">
        <v>4.8</v>
      </c>
      <c r="B42" s="3">
        <v>2.2999999999999998</v>
      </c>
    </row>
    <row r="43" spans="1:2" x14ac:dyDescent="0.25">
      <c r="A43" s="2">
        <v>4.9000000000000004</v>
      </c>
      <c r="B43" s="3">
        <v>1.3250000000000002</v>
      </c>
    </row>
    <row r="44" spans="1:2" x14ac:dyDescent="0.25">
      <c r="A44" s="2">
        <v>5</v>
      </c>
      <c r="B44" s="3">
        <v>2.25</v>
      </c>
    </row>
    <row r="45" spans="1:2" x14ac:dyDescent="0.25">
      <c r="A45" s="2">
        <v>5.2</v>
      </c>
      <c r="B45" s="3">
        <v>1.6125</v>
      </c>
    </row>
    <row r="46" spans="1:2" x14ac:dyDescent="0.25">
      <c r="A46" s="2">
        <v>5.3</v>
      </c>
      <c r="B46" s="3">
        <v>1.4333333333333333</v>
      </c>
    </row>
    <row r="47" spans="1:2" x14ac:dyDescent="0.25">
      <c r="A47" s="2">
        <v>5.5</v>
      </c>
      <c r="B47" s="3">
        <v>1.9</v>
      </c>
    </row>
    <row r="48" spans="1:2" x14ac:dyDescent="0.25">
      <c r="A48" s="2">
        <v>5.6</v>
      </c>
      <c r="B48" s="3">
        <v>1.2</v>
      </c>
    </row>
    <row r="49" spans="1:2" x14ac:dyDescent="0.25">
      <c r="A49" s="2">
        <v>5.7</v>
      </c>
      <c r="B49" s="3">
        <v>1.95</v>
      </c>
    </row>
    <row r="50" spans="1:2" x14ac:dyDescent="0.25">
      <c r="A50" s="2">
        <v>5.8</v>
      </c>
      <c r="B50" s="3">
        <v>1.1666666666666667</v>
      </c>
    </row>
    <row r="51" spans="1:2" x14ac:dyDescent="0.25">
      <c r="A51" s="2">
        <v>6</v>
      </c>
      <c r="B51" s="3">
        <v>1.5333333333333332</v>
      </c>
    </row>
    <row r="52" spans="1:2" x14ac:dyDescent="0.25">
      <c r="A52" s="2">
        <v>6.1</v>
      </c>
      <c r="B52" s="3">
        <v>1.4750000000000001</v>
      </c>
    </row>
    <row r="53" spans="1:2" x14ac:dyDescent="0.25">
      <c r="A53" s="2">
        <v>6.2</v>
      </c>
      <c r="B53" s="3">
        <v>2.8</v>
      </c>
    </row>
    <row r="54" spans="1:2" x14ac:dyDescent="0.25">
      <c r="A54" s="2">
        <v>6.4</v>
      </c>
      <c r="B54" s="3">
        <v>2.6749999999999998</v>
      </c>
    </row>
    <row r="55" spans="1:2" x14ac:dyDescent="0.25">
      <c r="A55" s="2">
        <v>6.5</v>
      </c>
      <c r="B55" s="3">
        <v>1.7</v>
      </c>
    </row>
    <row r="56" spans="1:2" x14ac:dyDescent="0.25">
      <c r="A56" s="2">
        <v>6.7</v>
      </c>
      <c r="B56" s="3">
        <v>2.9</v>
      </c>
    </row>
    <row r="57" spans="1:2" x14ac:dyDescent="0.25">
      <c r="A57" s="2">
        <v>6.9</v>
      </c>
      <c r="B57" s="3">
        <v>0.625</v>
      </c>
    </row>
    <row r="58" spans="1:2" x14ac:dyDescent="0.25">
      <c r="A58" s="2">
        <v>7</v>
      </c>
      <c r="B58" s="3">
        <v>1.8</v>
      </c>
    </row>
    <row r="59" spans="1:2" x14ac:dyDescent="0.25">
      <c r="A59" s="2">
        <v>7.1</v>
      </c>
      <c r="B59" s="3">
        <v>1.3</v>
      </c>
    </row>
    <row r="60" spans="1:2" x14ac:dyDescent="0.25">
      <c r="A60" s="2">
        <v>7.5</v>
      </c>
      <c r="B60" s="3">
        <v>2.4</v>
      </c>
    </row>
    <row r="61" spans="1:2" x14ac:dyDescent="0.25">
      <c r="A61" s="2">
        <v>7.6</v>
      </c>
      <c r="B61" s="3">
        <v>2.2999999999999998</v>
      </c>
    </row>
    <row r="62" spans="1:2" x14ac:dyDescent="0.25">
      <c r="A62" s="2">
        <v>7.8</v>
      </c>
      <c r="B62" s="3">
        <v>2.2999999999999998</v>
      </c>
    </row>
    <row r="63" spans="1:2" x14ac:dyDescent="0.25">
      <c r="A63" s="2">
        <v>7.9</v>
      </c>
      <c r="B63" s="3">
        <v>1.5</v>
      </c>
    </row>
    <row r="64" spans="1:2" x14ac:dyDescent="0.25">
      <c r="A64" s="2" t="s">
        <v>13</v>
      </c>
      <c r="B64" s="3">
        <v>1.530731707317073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B8F84-8C40-4F28-B8AD-2D3EBD8D7A38}">
  <dimension ref="A3:C9"/>
  <sheetViews>
    <sheetView workbookViewId="0">
      <selection activeCell="A9" sqref="A9:C9"/>
    </sheetView>
  </sheetViews>
  <sheetFormatPr defaultRowHeight="13.8" x14ac:dyDescent="0.25"/>
  <cols>
    <col min="1" max="1" width="12.59765625" bestFit="1" customWidth="1"/>
    <col min="2" max="2" width="21.296875" bestFit="1" customWidth="1"/>
    <col min="3" max="3" width="21.69921875" bestFit="1" customWidth="1"/>
  </cols>
  <sheetData>
    <row r="3" spans="1:3" x14ac:dyDescent="0.25">
      <c r="A3" s="1" t="s">
        <v>12</v>
      </c>
      <c r="B3" t="s">
        <v>17</v>
      </c>
      <c r="C3" t="s">
        <v>18</v>
      </c>
    </row>
    <row r="4" spans="1:3" x14ac:dyDescent="0.25">
      <c r="A4" s="2">
        <v>13</v>
      </c>
      <c r="B4" s="3">
        <v>71.708695652173915</v>
      </c>
      <c r="C4" s="3">
        <v>2.2326086956521736</v>
      </c>
    </row>
    <row r="5" spans="1:3" x14ac:dyDescent="0.25">
      <c r="A5" s="2">
        <v>14</v>
      </c>
      <c r="B5" s="3">
        <v>62.457142857142856</v>
      </c>
      <c r="C5" s="3">
        <v>2.5171428571428573</v>
      </c>
    </row>
    <row r="6" spans="1:3" x14ac:dyDescent="0.25">
      <c r="A6" s="2">
        <v>15</v>
      </c>
      <c r="B6" s="3">
        <v>70.959459459459453</v>
      </c>
      <c r="C6" s="3">
        <v>2.448648648648649</v>
      </c>
    </row>
    <row r="7" spans="1:3" x14ac:dyDescent="0.25">
      <c r="A7" s="2">
        <v>16</v>
      </c>
      <c r="B7" s="3">
        <v>70.591836734693871</v>
      </c>
      <c r="C7" s="3">
        <v>2.6122448979591835</v>
      </c>
    </row>
    <row r="8" spans="1:3" x14ac:dyDescent="0.25">
      <c r="A8" s="2">
        <v>17</v>
      </c>
      <c r="B8" s="3">
        <v>66.584210526315786</v>
      </c>
      <c r="C8" s="3">
        <v>2.6210526315789475</v>
      </c>
    </row>
    <row r="9" spans="1:3" x14ac:dyDescent="0.25">
      <c r="A9" s="2" t="s">
        <v>13</v>
      </c>
      <c r="B9" s="3">
        <v>68.777073170731754</v>
      </c>
      <c r="C9" s="3">
        <v>2.4829268292682927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DFB0-46B9-403E-9D43-158947100D88}">
  <dimension ref="A1"/>
  <sheetViews>
    <sheetView workbookViewId="0"/>
  </sheetViews>
  <sheetFormatPr defaultRowHeight="13.8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EDF7-5AA4-4D16-9AEE-807A222B494D}">
  <sheetPr>
    <pageSetUpPr fitToPage="1"/>
  </sheetPr>
  <dimension ref="A1"/>
  <sheetViews>
    <sheetView workbookViewId="0">
      <selection activeCell="H10" sqref="H10"/>
    </sheetView>
  </sheetViews>
  <sheetFormatPr defaultRowHeight="13.8" x14ac:dyDescent="0.25"/>
  <sheetData/>
  <pageMargins left="0.7" right="0.7" top="0.75" bottom="0.75" header="0.3" footer="0.3"/>
  <pageSetup fitToWidth="2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E3D0D7-BFC3-4596-A70F-5CF6AECAF9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student_screen_time_raw</vt:lpstr>
      <vt:lpstr> student screen</vt:lpstr>
      <vt:lpstr>Student-screen-time</vt:lpstr>
      <vt:lpstr>Pivot-1</vt:lpstr>
      <vt:lpstr>Pivot-2</vt:lpstr>
      <vt:lpstr>Pivot-3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</dc:creator>
  <cp:lastModifiedBy>tejaltejas134@gmail.com</cp:lastModifiedBy>
  <dcterms:created xsi:type="dcterms:W3CDTF">2026-03-16T20:24:33Z</dcterms:created>
  <dcterms:modified xsi:type="dcterms:W3CDTF">2026-03-17T08:36:12Z</dcterms:modified>
</cp:coreProperties>
</file>